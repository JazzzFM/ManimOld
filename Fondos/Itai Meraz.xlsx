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media/image2.png" ContentType="image/png"/>
  <Override PartName="/xl/media/image3.wmf" ContentType="image/x-wmf"/>
  <Override PartName="/xl/media/image4.wmf" ContentType="image/x-wmf"/>
  <Override PartName="/xl/media/image5.wmf" ContentType="image/x-wmf"/>
  <Override PartName="/xl/media/image6.wmf" ContentType="image/x-wmf"/>
  <Override PartName="/xl/media/image7.png" ContentType="image/png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definedNames>
    <definedName function="false" hidden="false" name="Total" vbProcedure="false">Hoja1!$A$57:$F$78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12" authorId="0">
      <text>
        <r>
          <rPr>
            <sz val="11"/>
            <color rgb="FF000000"/>
            <rFont val="Calibri"/>
            <family val="2"/>
            <charset val="1"/>
          </rPr>
          <t xml:space="preserve">MMS: Df y Edo. Mex
</t>
        </r>
      </text>
    </comment>
    <comment ref="D214" authorId="0">
      <text>
        <r>
          <rPr>
            <sz val="11"/>
            <color rgb="FF000000"/>
            <rFont val="Calibri"/>
            <family val="2"/>
            <charset val="1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HIDALGO</t>
        </r>
      </text>
    </comment>
    <comment ref="F213" authorId="0">
      <text>
        <r>
          <rPr>
            <sz val="11"/>
            <color rgb="FF000000"/>
            <rFont val="Calibri"/>
            <family val="2"/>
            <charset val="1"/>
          </rPr>
          <t xml:space="preserve">MMS: Aumento 20%
</t>
        </r>
      </text>
    </comment>
    <comment ref="F216" authorId="0">
      <text>
        <r>
          <rPr>
            <sz val="11"/>
            <color rgb="FF000000"/>
            <rFont val="Calibri"/>
            <family val="2"/>
            <charset val="1"/>
          </rPr>
          <t xml:space="preserve">MMS: Actualizar dato
</t>
        </r>
      </text>
    </comment>
  </commentList>
</comments>
</file>

<file path=xl/sharedStrings.xml><?xml version="1.0" encoding="utf-8"?>
<sst xmlns="http://schemas.openxmlformats.org/spreadsheetml/2006/main" count="517" uniqueCount="200">
  <si>
    <t xml:space="preserve">1. Elimine los registros duplicados existentes en el Rango de celdas A5:E30.</t>
  </si>
  <si>
    <t xml:space="preserve">Servicios Administrativos S.A.</t>
  </si>
  <si>
    <t xml:space="preserve">Apellidos</t>
  </si>
  <si>
    <t xml:space="preserve">Nombres</t>
  </si>
  <si>
    <t xml:space="preserve">Puesto</t>
  </si>
  <si>
    <t xml:space="preserve">Sueldo</t>
  </si>
  <si>
    <t xml:space="preserve">Estado</t>
  </si>
  <si>
    <t xml:space="preserve">Pérez</t>
  </si>
  <si>
    <t xml:space="preserve">Daniel</t>
  </si>
  <si>
    <t xml:space="preserve">médico</t>
  </si>
  <si>
    <t xml:space="preserve">Zaldívar</t>
  </si>
  <si>
    <t xml:space="preserve">Silvia</t>
  </si>
  <si>
    <t xml:space="preserve">chofer</t>
  </si>
  <si>
    <t xml:space="preserve">Tello</t>
  </si>
  <si>
    <t xml:space="preserve">Rosa</t>
  </si>
  <si>
    <t xml:space="preserve">recepcionista</t>
  </si>
  <si>
    <t xml:space="preserve">Manjarrez</t>
  </si>
  <si>
    <t xml:space="preserve">Ameyaltzín</t>
  </si>
  <si>
    <t xml:space="preserve">agente</t>
  </si>
  <si>
    <t xml:space="preserve">Nuñez</t>
  </si>
  <si>
    <t xml:space="preserve">Juan</t>
  </si>
  <si>
    <t xml:space="preserve">asesor</t>
  </si>
  <si>
    <t xml:space="preserve">Salgado</t>
  </si>
  <si>
    <t xml:space="preserve">Liliana</t>
  </si>
  <si>
    <t xml:space="preserve">ventas</t>
  </si>
  <si>
    <t xml:space="preserve">Aranda</t>
  </si>
  <si>
    <t xml:space="preserve">Magaly</t>
  </si>
  <si>
    <t xml:space="preserve">Zarate</t>
  </si>
  <si>
    <t xml:space="preserve">Laura</t>
  </si>
  <si>
    <t xml:space="preserve">gerente</t>
  </si>
  <si>
    <t xml:space="preserve">Segura</t>
  </si>
  <si>
    <t xml:space="preserve">Victor</t>
  </si>
  <si>
    <t xml:space="preserve">Rios</t>
  </si>
  <si>
    <t xml:space="preserve">Martín</t>
  </si>
  <si>
    <t xml:space="preserve">mensajero</t>
  </si>
  <si>
    <t xml:space="preserve">Rodríguez</t>
  </si>
  <si>
    <t xml:space="preserve">Mario</t>
  </si>
  <si>
    <t xml:space="preserve">Méndez</t>
  </si>
  <si>
    <t xml:space="preserve">Jorge</t>
  </si>
  <si>
    <t xml:space="preserve">director</t>
  </si>
  <si>
    <t xml:space="preserve">Garduño</t>
  </si>
  <si>
    <t xml:space="preserve">Enrique</t>
  </si>
  <si>
    <t xml:space="preserve">soporte</t>
  </si>
  <si>
    <t xml:space="preserve">Blanco</t>
  </si>
  <si>
    <t xml:space="preserve">Norma</t>
  </si>
  <si>
    <t xml:space="preserve">Ochoa</t>
  </si>
  <si>
    <t xml:space="preserve">Frida</t>
  </si>
  <si>
    <t xml:space="preserve">León</t>
  </si>
  <si>
    <t xml:space="preserve">Leonardo</t>
  </si>
  <si>
    <t xml:space="preserve">Sánchez</t>
  </si>
  <si>
    <t xml:space="preserve">Rene</t>
  </si>
  <si>
    <t xml:space="preserve">recursos humanos</t>
  </si>
  <si>
    <t xml:space="preserve">Olguín</t>
  </si>
  <si>
    <t xml:space="preserve">Rodrigo</t>
  </si>
  <si>
    <t xml:space="preserve">programador</t>
  </si>
  <si>
    <t xml:space="preserve">Becerra</t>
  </si>
  <si>
    <t xml:space="preserve">Juana</t>
  </si>
  <si>
    <t xml:space="preserve">Albarran</t>
  </si>
  <si>
    <t xml:space="preserve">Alejandra</t>
  </si>
  <si>
    <t xml:space="preserve">Bautista</t>
  </si>
  <si>
    <t xml:space="preserve">Jazmín</t>
  </si>
  <si>
    <r>
      <rPr>
        <i val="true"/>
        <sz val="12"/>
        <color rgb="FF000000"/>
        <rFont val="Calibri"/>
        <family val="2"/>
        <charset val="1"/>
      </rPr>
      <t xml:space="preserve">2.  Inserte unaformula si avanzada en la celda  G40 para que se muestre el texto</t>
    </r>
    <r>
      <rPr>
        <b val="true"/>
        <i val="true"/>
        <u val="single"/>
        <sz val="12"/>
        <color rgb="FF000000"/>
        <rFont val="Calibri"/>
        <family val="2"/>
        <charset val="1"/>
      </rPr>
      <t xml:space="preserve"> Mayor</t>
    </r>
  </si>
  <si>
    <t xml:space="preserve">si el valor de la celda que contiene  D40 es mayor que $5,000.00. En caso que sea menor</t>
  </si>
  <si>
    <r>
      <rPr>
        <i val="true"/>
        <sz val="12"/>
        <color rgb="FF000000"/>
        <rFont val="Calibri"/>
        <family val="2"/>
        <charset val="1"/>
      </rPr>
      <t xml:space="preserve">que se muestre el texto </t>
    </r>
    <r>
      <rPr>
        <b val="true"/>
        <i val="true"/>
        <u val="single"/>
        <sz val="12"/>
        <color rgb="FF000000"/>
        <rFont val="Calibri"/>
        <family val="2"/>
        <charset val="1"/>
      </rPr>
      <t xml:space="preserve">Menor,</t>
    </r>
    <r>
      <rPr>
        <i val="true"/>
        <sz val="12"/>
        <color rgb="FF000000"/>
        <rFont val="Calibri"/>
        <family val="2"/>
        <charset val="1"/>
      </rPr>
      <t xml:space="preserve"> rellena las demás celdas con la fórmula.</t>
    </r>
  </si>
  <si>
    <t xml:space="preserve">Agencia Automore S.A de C.V</t>
  </si>
  <si>
    <t xml:space="preserve">Detalle de ventas</t>
  </si>
  <si>
    <t xml:space="preserve">Modelo</t>
  </si>
  <si>
    <t xml:space="preserve">Precio de lista</t>
  </si>
  <si>
    <t xml:space="preserve">Precio de venta</t>
  </si>
  <si>
    <t xml:space="preserve">Diferencia</t>
  </si>
  <si>
    <t xml:space="preserve">Porcentaje de diferencia</t>
  </si>
  <si>
    <t xml:space="preserve">Dias en el mercado</t>
  </si>
  <si>
    <t xml:space="preserve">Expectativa</t>
  </si>
  <si>
    <t xml:space="preserve">G414</t>
  </si>
  <si>
    <t xml:space="preserve">Muró</t>
  </si>
  <si>
    <t xml:space="preserve">Tsire</t>
  </si>
  <si>
    <t xml:space="preserve">K911</t>
  </si>
  <si>
    <t xml:space="preserve">Simple</t>
  </si>
  <si>
    <t xml:space="preserve">Shift</t>
  </si>
  <si>
    <t xml:space="preserve">Sedán</t>
  </si>
  <si>
    <t xml:space="preserve">Horses</t>
  </si>
  <si>
    <t xml:space="preserve">Muscle44</t>
  </si>
  <si>
    <t xml:space="preserve">SSG</t>
  </si>
  <si>
    <t xml:space="preserve">MMS80</t>
  </si>
  <si>
    <t xml:space="preserve">Rain</t>
  </si>
  <si>
    <t xml:space="preserve">3. Utilice la opción nombre al Rango de celdas de A57:F78 pon el nombre total</t>
  </si>
  <si>
    <t xml:space="preserve"> obtenga el promedio de Sueldo y de Bono para cada cambio en Departamento.</t>
  </si>
  <si>
    <t xml:space="preserve">Departamento</t>
  </si>
  <si>
    <t xml:space="preserve">Bono</t>
  </si>
  <si>
    <t xml:space="preserve">Desarrollo</t>
  </si>
  <si>
    <t xml:space="preserve">Promedio Sueldo</t>
  </si>
  <si>
    <t xml:space="preserve">Promedio Bono </t>
  </si>
  <si>
    <t xml:space="preserve">Gerencia</t>
  </si>
  <si>
    <t xml:space="preserve">Promedio sueldo y bono</t>
  </si>
  <si>
    <t xml:space="preserve">Operaciones</t>
  </si>
  <si>
    <t xml:space="preserve">Recursos Humanos</t>
  </si>
  <si>
    <t xml:space="preserve">4. Valide los datos del Rango de celdas C87:C99 para que sólo acepte una longitud de texto entre 1 y 3 carácteres. </t>
  </si>
  <si>
    <t xml:space="preserve">Escuela de Baile</t>
  </si>
  <si>
    <t xml:space="preserve">Sucursal Valle Verde</t>
  </si>
  <si>
    <t xml:space="preserve">ID</t>
  </si>
  <si>
    <t xml:space="preserve">Nivel</t>
  </si>
  <si>
    <t xml:space="preserve">Calificación</t>
  </si>
  <si>
    <t xml:space="preserve">TA112</t>
  </si>
  <si>
    <t xml:space="preserve">Primeros pasos</t>
  </si>
  <si>
    <t xml:space="preserve">LA445</t>
  </si>
  <si>
    <t xml:space="preserve">Avanzado</t>
  </si>
  <si>
    <t xml:space="preserve">RE654</t>
  </si>
  <si>
    <t xml:space="preserve">Pequeños pasos</t>
  </si>
  <si>
    <t xml:space="preserve">CU665</t>
  </si>
  <si>
    <t xml:space="preserve">Intermedio</t>
  </si>
  <si>
    <t xml:space="preserve">TA349</t>
  </si>
  <si>
    <t xml:space="preserve">RE980</t>
  </si>
  <si>
    <t xml:space="preserve">LA595</t>
  </si>
  <si>
    <t xml:space="preserve">SA778</t>
  </si>
  <si>
    <t xml:space="preserve">SA739</t>
  </si>
  <si>
    <t xml:space="preserve">ILL304</t>
  </si>
  <si>
    <t xml:space="preserve">DRG333</t>
  </si>
  <si>
    <t xml:space="preserve">DRG421</t>
  </si>
  <si>
    <t xml:space="preserve">MED432</t>
  </si>
  <si>
    <t xml:space="preserve">6. Inserte un Gráfico de columna cilíndrico agrupado utilizando las columnas  </t>
  </si>
  <si>
    <t xml:space="preserve"> Año, Automóviles y Motocicletas utilice el Diseño de Grafico diseño 5, coloque el Gráfico en una hoja nueva. </t>
  </si>
  <si>
    <t xml:space="preserve">(Nota: Acepte las demás opciones predeterminadas). </t>
  </si>
  <si>
    <t xml:space="preserve">Estadísticas nacionales de vehículos de motor registrados en circulación</t>
  </si>
  <si>
    <t xml:space="preserve">Consulta de: Vehículos registrados   Por: Año de registro   Según: Clase de vehículo</t>
  </si>
  <si>
    <t xml:space="preserve">Año</t>
  </si>
  <si>
    <t xml:space="preserve">Automóviles</t>
  </si>
  <si>
    <t xml:space="preserve">Camiones para pasajeros</t>
  </si>
  <si>
    <t xml:space="preserve">Motocicletas</t>
  </si>
  <si>
    <t xml:space="preserve">Total</t>
  </si>
  <si>
    <t xml:space="preserve">Marca</t>
  </si>
  <si>
    <t xml:space="preserve">FUENTE: INEGI. Estadísticas de vehículos de motor registrados en circulación.</t>
  </si>
  <si>
    <t xml:space="preserve">7. Aplique el Estilo de tabla medio 4 al Rango de celdas B126:E135 y active la Opción columnas con bandas.</t>
  </si>
  <si>
    <t xml:space="preserve">Inventario de Piezas</t>
  </si>
  <si>
    <t xml:space="preserve">Columna1</t>
  </si>
  <si>
    <t xml:space="preserve">Descripción</t>
  </si>
  <si>
    <t xml:space="preserve">Inventario</t>
  </si>
  <si>
    <t xml:space="preserve">HUY</t>
  </si>
  <si>
    <t xml:space="preserve">Tapete</t>
  </si>
  <si>
    <t xml:space="preserve">KMJ</t>
  </si>
  <si>
    <t xml:space="preserve">Folder</t>
  </si>
  <si>
    <t xml:space="preserve">GVB</t>
  </si>
  <si>
    <t xml:space="preserve">Etiquetas</t>
  </si>
  <si>
    <t xml:space="preserve">UDJ</t>
  </si>
  <si>
    <t xml:space="preserve">Hojas</t>
  </si>
  <si>
    <t xml:space="preserve">OLP</t>
  </si>
  <si>
    <t xml:space="preserve">Clips</t>
  </si>
  <si>
    <t xml:space="preserve">KUF</t>
  </si>
  <si>
    <t xml:space="preserve">Grapas</t>
  </si>
  <si>
    <t xml:space="preserve">DRT</t>
  </si>
  <si>
    <t xml:space="preserve">Cajas</t>
  </si>
  <si>
    <t xml:space="preserve">YYT</t>
  </si>
  <si>
    <t xml:space="preserve">Bolsas</t>
  </si>
  <si>
    <t xml:space="preserve">JSW</t>
  </si>
  <si>
    <t xml:space="preserve">Botes</t>
  </si>
  <si>
    <t xml:space="preserve">8. Convierta el contenido delimitado por comas del Rango B141:B150 a columnas.     </t>
  </si>
  <si>
    <t xml:space="preserve">Nota: Acepte los cambios predeterminados del asistente</t>
  </si>
  <si>
    <t xml:space="preserve">9. Seleccione desde la celda A158 hasta la celda  A172 y llenar la Serie . </t>
  </si>
  <si>
    <t xml:space="preserve">Centro Acuatico Atlantida</t>
  </si>
  <si>
    <t xml:space="preserve">Fecha</t>
  </si>
  <si>
    <t xml:space="preserve">Numero de visitantes extranjeros</t>
  </si>
  <si>
    <t xml:space="preserve">Numero de visitantes Nacionales</t>
  </si>
  <si>
    <t xml:space="preserve">10.Inserte una Función  Avanzada en la celda G187 para obtener el Promedio, maximo y el minimo de los valores de la columna D. ( sueldo )</t>
  </si>
  <si>
    <t xml:space="preserve">Promedio</t>
  </si>
  <si>
    <t xml:space="preserve">Máximo</t>
  </si>
  <si>
    <t xml:space="preserve">Mínimo</t>
  </si>
  <si>
    <t xml:space="preserve"> </t>
  </si>
  <si>
    <t xml:space="preserve">11. Elimine el comentario de la celda F209</t>
  </si>
  <si>
    <r>
      <rPr>
        <i val="true"/>
        <sz val="12"/>
        <color rgb="FF000000"/>
        <rFont val="Arial"/>
        <family val="2"/>
        <charset val="1"/>
      </rPr>
      <t xml:space="preserve">12. Agrega un comentario a la celda D214  que diga </t>
    </r>
    <r>
      <rPr>
        <b val="true"/>
        <i val="true"/>
        <u val="single"/>
        <sz val="12"/>
        <color rgb="FF000000"/>
        <rFont val="Arial"/>
        <family val="2"/>
        <charset val="1"/>
      </rPr>
      <t xml:space="preserve">Hidalgo</t>
    </r>
    <r>
      <rPr>
        <i val="true"/>
        <sz val="12"/>
        <color rgb="FF000000"/>
        <rFont val="Arial"/>
        <family val="2"/>
        <charset val="1"/>
      </rPr>
      <t xml:space="preserve">. </t>
    </r>
  </si>
  <si>
    <t xml:space="preserve">Agentes de Ventas</t>
  </si>
  <si>
    <t xml:space="preserve">Nombre</t>
  </si>
  <si>
    <t xml:space="preserve">Apellido</t>
  </si>
  <si>
    <t xml:space="preserve">Ciudad</t>
  </si>
  <si>
    <t xml:space="preserve">Meta</t>
  </si>
  <si>
    <t xml:space="preserve">Alcanzado</t>
  </si>
  <si>
    <t xml:space="preserve">Pachuca</t>
  </si>
  <si>
    <t xml:space="preserve">Chilpancingo</t>
  </si>
  <si>
    <t xml:space="preserve">DF</t>
  </si>
  <si>
    <t xml:space="preserve">Zitacuaro</t>
  </si>
  <si>
    <t xml:space="preserve">Puebla</t>
  </si>
  <si>
    <t xml:space="preserve">Guanajuato</t>
  </si>
  <si>
    <t xml:space="preserve">Mérida</t>
  </si>
  <si>
    <r>
      <rPr>
        <i val="true"/>
        <sz val="12"/>
        <color rgb="FF000000"/>
        <rFont val="Arial"/>
        <family val="2"/>
        <charset val="1"/>
      </rPr>
      <t xml:space="preserve">13. Ordene la tabla por </t>
    </r>
    <r>
      <rPr>
        <b val="true"/>
        <i val="true"/>
        <u val="single"/>
        <sz val="12"/>
        <color rgb="FF000000"/>
        <rFont val="Arial"/>
        <family val="2"/>
        <charset val="1"/>
      </rPr>
      <t xml:space="preserve">Descripción</t>
    </r>
    <r>
      <rPr>
        <i val="true"/>
        <sz val="12"/>
        <color rgb="FF000000"/>
        <rFont val="Arial"/>
        <family val="2"/>
        <charset val="1"/>
      </rPr>
      <t xml:space="preserve"> en Orden descendente, luego por </t>
    </r>
    <r>
      <rPr>
        <b val="true"/>
        <i val="true"/>
        <u val="single"/>
        <sz val="12"/>
        <color rgb="FF000000"/>
        <rFont val="Arial"/>
        <family val="2"/>
        <charset val="1"/>
      </rPr>
      <t xml:space="preserve">Inventario</t>
    </r>
    <r>
      <rPr>
        <i val="true"/>
        <sz val="12"/>
        <color rgb="FF000000"/>
        <rFont val="Arial"/>
        <family val="2"/>
        <charset val="1"/>
      </rPr>
      <t xml:space="preserve"> en Orden ascendente.</t>
    </r>
  </si>
  <si>
    <t xml:space="preserve">Número de Parte</t>
  </si>
  <si>
    <t xml:space="preserve">14. Inserte una Fórmula en la celda C243 que divida a la celda C241 con Referencia Absoluta a </t>
  </si>
  <si>
    <t xml:space="preserve">la celda H241 para obtener el valor en dólares del mes de febrero y arrastre  para obtener el </t>
  </si>
  <si>
    <t xml:space="preserve">resultado de los siguientes meses.</t>
  </si>
  <si>
    <t xml:space="preserve">Ganancias</t>
  </si>
  <si>
    <t xml:space="preserve">enero</t>
  </si>
  <si>
    <t xml:space="preserve">febrero </t>
  </si>
  <si>
    <t xml:space="preserve">marzo</t>
  </si>
  <si>
    <t xml:space="preserve">abril</t>
  </si>
  <si>
    <t xml:space="preserve">valores actuales en pesos</t>
  </si>
  <si>
    <t xml:space="preserve">pesos</t>
  </si>
  <si>
    <t xml:space="preserve">dólar</t>
  </si>
  <si>
    <t xml:space="preserve">dólares</t>
  </si>
  <si>
    <t xml:space="preserve">euro</t>
  </si>
  <si>
    <t xml:space="preserve">15. Ingrese una Función en la celda C268  que cuente el número de veces  en las que la cantidad </t>
  </si>
  <si>
    <t xml:space="preserve">sea mayor que 10000 dentro del rango de celdas E252:E266</t>
  </si>
  <si>
    <t xml:space="preserve">Sueldo mayores a $10000</t>
  </si>
  <si>
    <r>
      <rPr>
        <i val="true"/>
        <sz val="12"/>
        <color rgb="FF000000"/>
        <rFont val="Arial"/>
        <family val="2"/>
        <charset val="1"/>
      </rPr>
      <t xml:space="preserve">16. Modifique las dimensiones del gráfico, que la altura sea igual a </t>
    </r>
    <r>
      <rPr>
        <b val="true"/>
        <i val="true"/>
        <u val="single"/>
        <sz val="12"/>
        <color rgb="FF000000"/>
        <rFont val="Arial"/>
        <family val="2"/>
        <charset val="1"/>
      </rPr>
      <t xml:space="preserve">3cm</t>
    </r>
    <r>
      <rPr>
        <i val="true"/>
        <sz val="12"/>
        <color rgb="FF000000"/>
        <rFont val="Arial"/>
        <family val="2"/>
        <charset val="1"/>
      </rPr>
      <t xml:space="preserve"> y el ancho sea igual a </t>
    </r>
    <r>
      <rPr>
        <b val="true"/>
        <i val="true"/>
        <u val="single"/>
        <sz val="12"/>
        <color rgb="FF000000"/>
        <rFont val="Arial"/>
        <family val="2"/>
        <charset val="1"/>
      </rPr>
      <t xml:space="preserve">5cm</t>
    </r>
    <r>
      <rPr>
        <i val="true"/>
        <sz val="12"/>
        <color rgb="FF000000"/>
        <rFont val="Arial"/>
        <family val="2"/>
        <charset val="1"/>
      </rPr>
      <t xml:space="preserve">. 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</si>
</sst>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&quot; €&quot;_-;\-* #,##0.00&quot; €&quot;_-;_-* \-??&quot; €&quot;_-;_-@_-"/>
    <numFmt numFmtId="166" formatCode="_-\$* #,##0.00_-;&quot;-$&quot;* #,##0.00_-;_-\$* \-??_-;_-@_-"/>
    <numFmt numFmtId="167" formatCode="\$#,##0_);[RED]&quot;($&quot;#,##0\)"/>
    <numFmt numFmtId="168" formatCode="0%"/>
    <numFmt numFmtId="169" formatCode="#,##0"/>
    <numFmt numFmtId="170" formatCode="m/d/yyyy"/>
    <numFmt numFmtId="171" formatCode="_-\$* #,##0_-;&quot;-$&quot;* #,##0_-;_-\$* \-??_-;_-@_-"/>
    <numFmt numFmtId="172" formatCode="_-[$$-80A]* #,##0.00_-;\-[$$-80A]* #,##0.00_-;_-[$$-80A]* \-??_-;_-@_-"/>
    <numFmt numFmtId="173" formatCode="_-[$$-409]* #,##0.00_ ;_-[$$-409]* \-#,##0.00\ ;_-[$$-409]* \-??_ ;_-@_ 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rgb="FF000000"/>
      <name val="Arial"/>
      <family val="2"/>
      <charset val="1"/>
    </font>
    <font>
      <i val="true"/>
      <sz val="11"/>
      <color rgb="FF000000"/>
      <name val="Calibri"/>
      <family val="2"/>
      <charset val="1"/>
    </font>
    <font>
      <sz val="24"/>
      <color rgb="FFFF0000"/>
      <name val="Arial"/>
      <family val="2"/>
      <charset val="1"/>
    </font>
    <font>
      <b val="true"/>
      <sz val="11"/>
      <color rgb="FF1F497D"/>
      <name val="Arial"/>
      <family val="2"/>
      <charset val="1"/>
    </font>
    <font>
      <i val="true"/>
      <sz val="12"/>
      <color rgb="FF000000"/>
      <name val="Calibri"/>
      <family val="2"/>
      <charset val="1"/>
    </font>
    <font>
      <b val="true"/>
      <i val="true"/>
      <u val="single"/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sz val="15"/>
      <color rgb="FF1F497D"/>
      <name val="Calibri"/>
      <family val="2"/>
      <charset val="1"/>
    </font>
    <font>
      <b val="true"/>
      <sz val="13"/>
      <color rgb="FF1F497D"/>
      <name val="Calibri"/>
      <family val="2"/>
      <charset val="1"/>
    </font>
    <font>
      <b val="true"/>
      <sz val="16"/>
      <color rgb="FF1F497D"/>
      <name val="Cambria"/>
      <family val="2"/>
      <charset val="1"/>
    </font>
    <font>
      <b val="true"/>
      <sz val="18"/>
      <color rgb="FF1F497D"/>
      <name val="Cambria"/>
      <family val="2"/>
      <charset val="1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i val="true"/>
      <u val="single"/>
      <sz val="12"/>
      <color rgb="FF000000"/>
      <name val="Arial"/>
      <family val="2"/>
      <charset val="1"/>
    </font>
    <font>
      <sz val="14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3F3F3F"/>
      <name val="Calibri"/>
      <family val="2"/>
      <charset val="1"/>
    </font>
    <font>
      <sz val="11"/>
      <color rgb="FF000000"/>
      <name val="Cambria"/>
      <family val="2"/>
      <charset val="1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95B3D7"/>
      </patternFill>
    </fill>
    <fill>
      <patternFill patternType="solid">
        <fgColor rgb="FFFFCC99"/>
        <bgColor rgb="FFC0C0C0"/>
      </patternFill>
    </fill>
    <fill>
      <patternFill patternType="solid">
        <fgColor rgb="FFF79646"/>
        <bgColor rgb="FFFF8080"/>
      </patternFill>
    </fill>
    <fill>
      <patternFill patternType="solid">
        <fgColor rgb="FF8064A2"/>
        <bgColor rgb="FF7F7F7F"/>
      </patternFill>
    </fill>
    <fill>
      <patternFill patternType="solid">
        <fgColor rgb="FFF2F2F2"/>
        <bgColor rgb="FFFFFFFF"/>
      </patternFill>
    </fill>
    <fill>
      <patternFill patternType="solid">
        <fgColor rgb="FF558ED5"/>
        <bgColor rgb="FF4F81B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medium">
        <color rgb="FF95B3D7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ck">
        <color rgb="FF4F81BD"/>
      </bottom>
      <diagonal/>
    </border>
    <border diagonalUp="false" diagonalDown="false">
      <left/>
      <right/>
      <top/>
      <bottom style="thick">
        <color rgb="FFA7C0DE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ck">
        <color rgb="FFA7C0DE"/>
      </top>
      <bottom/>
      <diagonal/>
    </border>
    <border diagonalUp="false" diagonalDown="false">
      <left/>
      <right/>
      <top style="thick">
        <color rgb="FF4F81BD"/>
      </top>
      <bottom style="thick">
        <color rgb="FFA7C0DE"/>
      </bottom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2" applyFont="true" applyBorder="true" applyAlignment="true" applyProtection="false">
      <alignment horizontal="general" vertical="bottom" textRotation="0" wrapText="false" indent="0" shrinkToFit="false"/>
    </xf>
    <xf numFmtId="164" fontId="13" fillId="3" borderId="3" applyFont="true" applyBorder="true" applyAlignment="true" applyProtection="false">
      <alignment horizontal="general" vertical="bottom" textRotation="0" wrapText="false" indent="0" shrinkToFit="false"/>
    </xf>
    <xf numFmtId="164" fontId="14" fillId="0" borderId="4" applyFont="true" applyBorder="true" applyAlignment="true" applyProtection="false">
      <alignment horizontal="general" vertical="bottom" textRotation="0" wrapText="false" indent="0" shrinkToFit="false"/>
    </xf>
    <xf numFmtId="164" fontId="15" fillId="0" borderId="5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4" borderId="0" applyFont="true" applyBorder="false" applyAlignment="true" applyProtection="false">
      <alignment horizontal="general" vertical="bottom" textRotation="0" wrapText="false" indent="0" shrinkToFit="false"/>
    </xf>
    <xf numFmtId="164" fontId="18" fillId="5" borderId="0" applyFont="true" applyBorder="false" applyAlignment="true" applyProtection="false">
      <alignment horizontal="general" vertical="bottom" textRotation="0" wrapText="false" indent="0" shrinkToFit="false"/>
    </xf>
    <xf numFmtId="164" fontId="25" fillId="6" borderId="6" applyFont="true" applyBorder="tru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21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3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3" fillId="3" borderId="3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3" fillId="3" borderId="3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8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7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0" xfId="2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6" xfId="29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  <cellStyle name="Excel Built-in Heading 3" xfId="21"/>
    <cellStyle name="Excel Built-in Input" xfId="22"/>
    <cellStyle name="Excel Built-in Heading 1" xfId="23"/>
    <cellStyle name="Excel Built-in Heading 2" xfId="24"/>
    <cellStyle name="Excel Built-in Heading 4" xfId="25"/>
    <cellStyle name="Excel Built-in Title" xfId="26"/>
    <cellStyle name="Excel Built-in Accent6" xfId="27"/>
    <cellStyle name="Excel Built-in Accent4" xfId="28"/>
    <cellStyle name="Excel Built-in Output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5B3D7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7C0DE"/>
      <rgbColor rgb="FFFF99CC"/>
      <rgbColor rgb="FFCC99FF"/>
      <rgbColor rgb="FFFFCC99"/>
      <rgbColor rgb="FF4F81BD"/>
      <rgbColor rgb="FF33CCCC"/>
      <rgbColor rgb="FF99CC00"/>
      <rgbColor rgb="FFFFCC00"/>
      <rgbColor rgb="FFF79646"/>
      <rgbColor rgb="FFFF6600"/>
      <rgbColor rgb="FF8064A2"/>
      <rgbColor rgb="FFA5A5A5"/>
      <rgbColor rgb="FF1F497D"/>
      <rgbColor rgb="FF558ED5"/>
      <rgbColor rgb="FF003300"/>
      <rgbColor rgb="FF333300"/>
      <rgbColor rgb="FF993300"/>
      <rgbColor rgb="FF99336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png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6.wmf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297000</xdr:colOff>
      <xdr:row>2</xdr:row>
      <xdr:rowOff>72000</xdr:rowOff>
    </xdr:from>
    <xdr:to>
      <xdr:col>5</xdr:col>
      <xdr:colOff>833760</xdr:colOff>
      <xdr:row>4</xdr:row>
      <xdr:rowOff>17640</xdr:rowOff>
    </xdr:to>
    <xdr:pic>
      <xdr:nvPicPr>
        <xdr:cNvPr id="0" name="Picture 2" descr="C:\Program Files\Microsoft Office\Media\CntCD1\ClipArt7\j0299997.wmf"/>
        <xdr:cNvPicPr/>
      </xdr:nvPicPr>
      <xdr:blipFill>
        <a:blip r:embed="rId1"/>
        <a:stretch/>
      </xdr:blipFill>
      <xdr:spPr>
        <a:xfrm>
          <a:off x="7633440" y="452880"/>
          <a:ext cx="536760" cy="747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135000</xdr:colOff>
      <xdr:row>37</xdr:row>
      <xdr:rowOff>135000</xdr:rowOff>
    </xdr:from>
    <xdr:to>
      <xdr:col>11</xdr:col>
      <xdr:colOff>471960</xdr:colOff>
      <xdr:row>45</xdr:row>
      <xdr:rowOff>170280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489680" y="7436520"/>
          <a:ext cx="3544920" cy="1696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243000</xdr:colOff>
      <xdr:row>55</xdr:row>
      <xdr:rowOff>360</xdr:rowOff>
    </xdr:from>
    <xdr:to>
      <xdr:col>6</xdr:col>
      <xdr:colOff>779760</xdr:colOff>
      <xdr:row>58</xdr:row>
      <xdr:rowOff>72000</xdr:rowOff>
    </xdr:to>
    <xdr:pic>
      <xdr:nvPicPr>
        <xdr:cNvPr id="2" name="Picture 2" descr="C:\Program Files\Microsoft Office\Media\CntCD1\ClipArt7\j0299997.wmf"/>
        <xdr:cNvPicPr/>
      </xdr:nvPicPr>
      <xdr:blipFill>
        <a:blip r:embed="rId3"/>
        <a:stretch/>
      </xdr:blipFill>
      <xdr:spPr>
        <a:xfrm>
          <a:off x="9053280" y="10822320"/>
          <a:ext cx="536760" cy="818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368280</xdr:colOff>
      <xdr:row>81</xdr:row>
      <xdr:rowOff>144000</xdr:rowOff>
    </xdr:from>
    <xdr:to>
      <xdr:col>3</xdr:col>
      <xdr:colOff>945000</xdr:colOff>
      <xdr:row>84</xdr:row>
      <xdr:rowOff>141120</xdr:rowOff>
    </xdr:to>
    <xdr:pic>
      <xdr:nvPicPr>
        <xdr:cNvPr id="3" name="Picture 1" descr="C:\Program Files\Microsoft Office\Media\CntCD1\ClipArt2\j0231828.wmf"/>
        <xdr:cNvPicPr/>
      </xdr:nvPicPr>
      <xdr:blipFill>
        <a:blip r:embed="rId4"/>
        <a:stretch/>
      </xdr:blipFill>
      <xdr:spPr>
        <a:xfrm>
          <a:off x="5635440" y="15934320"/>
          <a:ext cx="576720" cy="682920"/>
        </a:xfrm>
        <a:prstGeom prst="rect">
          <a:avLst/>
        </a:prstGeom>
        <a:ln>
          <a:noFill/>
        </a:ln>
        <a:effectLst>
          <a:outerShdw algn="tl" blurRad="292100" dir="2700000" dist="139498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360</xdr:colOff>
      <xdr:row>175</xdr:row>
      <xdr:rowOff>0</xdr:rowOff>
    </xdr:from>
    <xdr:to>
      <xdr:col>5</xdr:col>
      <xdr:colOff>853560</xdr:colOff>
      <xdr:row>176</xdr:row>
      <xdr:rowOff>107640</xdr:rowOff>
    </xdr:to>
    <xdr:pic>
      <xdr:nvPicPr>
        <xdr:cNvPr id="4" name="Picture 2" descr="C:\Program Files\Microsoft Office\Media\CntCD1\ClipArt7\j0299997.wmf"/>
        <xdr:cNvPicPr/>
      </xdr:nvPicPr>
      <xdr:blipFill>
        <a:blip r:embed="rId5"/>
        <a:stretch/>
      </xdr:blipFill>
      <xdr:spPr>
        <a:xfrm>
          <a:off x="7336800" y="33377400"/>
          <a:ext cx="853200" cy="488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6</xdr:col>
      <xdr:colOff>360</xdr:colOff>
      <xdr:row>249</xdr:row>
      <xdr:rowOff>5760</xdr:rowOff>
    </xdr:from>
    <xdr:to>
      <xdr:col>6</xdr:col>
      <xdr:colOff>909360</xdr:colOff>
      <xdr:row>251</xdr:row>
      <xdr:rowOff>17640</xdr:rowOff>
    </xdr:to>
    <xdr:pic>
      <xdr:nvPicPr>
        <xdr:cNvPr id="5" name="Picture 2" descr="C:\Program Files\Microsoft Office\Media\CntCD1\ClipArt7\j0299997.wmf"/>
        <xdr:cNvPicPr/>
      </xdr:nvPicPr>
      <xdr:blipFill>
        <a:blip r:embed="rId6"/>
        <a:stretch/>
      </xdr:blipFill>
      <xdr:spPr>
        <a:xfrm>
          <a:off x="8810640" y="47274480"/>
          <a:ext cx="909000" cy="575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7</xdr:col>
      <xdr:colOff>640080</xdr:colOff>
      <xdr:row>277</xdr:row>
      <xdr:rowOff>108360</xdr:rowOff>
    </xdr:from>
    <xdr:to>
      <xdr:col>9</xdr:col>
      <xdr:colOff>728640</xdr:colOff>
      <xdr:row>283</xdr:row>
      <xdr:rowOff>109800</xdr:rowOff>
    </xdr:to>
    <xdr:pic>
      <xdr:nvPicPr>
        <xdr:cNvPr id="6" name="Picture 2" descr=""/>
        <xdr:cNvPicPr/>
      </xdr:nvPicPr>
      <xdr:blipFill>
        <a:blip r:embed="rId7"/>
        <a:stretch/>
      </xdr:blipFill>
      <xdr:spPr>
        <a:xfrm>
          <a:off x="10994760" y="52947000"/>
          <a:ext cx="1790280" cy="109872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B126:E135" headerRowCount="1" totalsRowCount="0" totalsRowShown="0">
  <tableColumns count="4">
    <tableColumn id="1" name="Columna1"/>
    <tableColumn id="2" name="Descripción"/>
    <tableColumn id="3" name="Total"/>
    <tableColumn id="4" name="Inventario"/>
  </tableColumns>
</table>
</file>

<file path=xl/tables/table2.xml><?xml version="1.0" encoding="utf-8"?>
<table xmlns="http://schemas.openxmlformats.org/spreadsheetml/2006/main" id="2" name="Tabla13" displayName="Tabla13" ref="A177:D203" headerRowCount="1" totalsRowCount="0" totalsRowShown="0">
  <tableColumns count="4">
    <tableColumn id="1" name="Apellidos"/>
    <tableColumn id="2" name="Nombres"/>
    <tableColumn id="3" name="Puesto"/>
    <tableColumn id="4" name="Sueldo"/>
  </tableColumns>
</table>
</file>

<file path=xl/tables/table3.xml><?xml version="1.0" encoding="utf-8"?>
<table xmlns="http://schemas.openxmlformats.org/spreadsheetml/2006/main" id="3" name="Tabla14" displayName="Tabla14" ref="B209:F216" headerRowCount="1" totalsRowCount="0" totalsRowShown="0">
  <tableColumns count="5">
    <tableColumn id="1" name="Nombre"/>
    <tableColumn id="2" name="Apellido"/>
    <tableColumn id="3" name="Ciudad"/>
    <tableColumn id="4" name="Meta"/>
    <tableColumn id="5" name="Alcanzado"/>
  </tableColumns>
</table>
</file>

<file path=xl/tables/table4.xml><?xml version="1.0" encoding="utf-8"?>
<table xmlns="http://schemas.openxmlformats.org/spreadsheetml/2006/main" id="4" name="Tabla15" displayName="Tabla15" ref="B223:E232" headerRowCount="1" totalsRowCount="0" totalsRowShown="0">
  <tableColumns count="4">
    <tableColumn id="1" name="Número de Parte"/>
    <tableColumn id="2" name="Descripción"/>
    <tableColumn id="3" name="Total"/>
    <tableColumn id="4" name="Inventario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V293"/>
  <sheetViews>
    <sheetView showFormulas="false" showGridLines="true" showRowColHeaders="true" showZeros="true" rightToLeft="false" tabSelected="true" showOutlineSymbols="true" defaultGridColor="true" view="normal" topLeftCell="A228" colorId="64" zoomScale="106" zoomScaleNormal="106" zoomScalePageLayoutView="100" workbookViewId="0">
      <selection pane="topLeft" activeCell="B242" activeCellId="0" sqref="B242"/>
    </sheetView>
  </sheetViews>
  <sheetFormatPr defaultColWidth="10.6875" defaultRowHeight="14.4" zeroHeight="false" outlineLevelRow="0" outlineLevelCol="0"/>
  <cols>
    <col collapsed="false" customWidth="true" hidden="false" outlineLevel="0" max="1" min="1" style="0" width="12.33"/>
    <col collapsed="false" customWidth="true" hidden="false" outlineLevel="0" max="2" min="2" style="0" width="29.66"/>
    <col collapsed="false" customWidth="true" hidden="false" outlineLevel="0" max="3" min="3" style="0" width="32.66"/>
    <col collapsed="false" customWidth="true" hidden="false" outlineLevel="0" max="4" min="4" style="0" width="17"/>
    <col collapsed="false" customWidth="true" hidden="false" outlineLevel="0" max="5" min="5" style="0" width="12.33"/>
    <col collapsed="false" customWidth="true" hidden="false" outlineLevel="0" max="6" min="6" style="0" width="20.89"/>
    <col collapsed="false" customWidth="true" hidden="false" outlineLevel="0" max="7" min="7" style="0" width="21.89"/>
    <col collapsed="false" customWidth="true" hidden="false" outlineLevel="0" max="8" min="8" style="0" width="13.44"/>
  </cols>
  <sheetData>
    <row r="2" s="2" customFormat="true" ht="15.6" hidden="false" customHeight="false" outlineLevel="0" collapsed="false">
      <c r="A2" s="1" t="s">
        <v>0</v>
      </c>
      <c r="H2" s="3"/>
    </row>
    <row r="4" customFormat="false" ht="48.75" hidden="false" customHeight="true" outlineLevel="0" collapsed="false">
      <c r="A4" s="4" t="s">
        <v>1</v>
      </c>
      <c r="B4" s="4"/>
      <c r="C4" s="4"/>
      <c r="D4" s="4"/>
      <c r="E4" s="4"/>
    </row>
    <row r="5" customFormat="false" ht="14.4" hidden="false" customHeight="false" outlineLevel="0" collapsed="false">
      <c r="A5" s="5" t="s">
        <v>2</v>
      </c>
      <c r="B5" s="5" t="s">
        <v>3</v>
      </c>
      <c r="C5" s="5" t="s">
        <v>4</v>
      </c>
      <c r="D5" s="6" t="s">
        <v>5</v>
      </c>
      <c r="E5" s="7" t="s">
        <v>6</v>
      </c>
    </row>
    <row r="6" customFormat="false" ht="14.4" hidden="false" customHeight="false" outlineLevel="0" collapsed="false">
      <c r="A6" s="0" t="s">
        <v>7</v>
      </c>
      <c r="B6" s="0" t="s">
        <v>8</v>
      </c>
      <c r="C6" s="0" t="s">
        <v>9</v>
      </c>
      <c r="D6" s="8" t="n">
        <v>6000</v>
      </c>
      <c r="E6" s="9"/>
    </row>
    <row r="7" customFormat="false" ht="14.4" hidden="false" customHeight="false" outlineLevel="0" collapsed="false">
      <c r="A7" s="0" t="s">
        <v>10</v>
      </c>
      <c r="B7" s="0" t="s">
        <v>11</v>
      </c>
      <c r="C7" s="0" t="s">
        <v>12</v>
      </c>
      <c r="D7" s="8" t="n">
        <v>6700</v>
      </c>
      <c r="E7" s="9"/>
    </row>
    <row r="8" customFormat="false" ht="14.4" hidden="false" customHeight="false" outlineLevel="0" collapsed="false">
      <c r="A8" s="0" t="s">
        <v>13</v>
      </c>
      <c r="B8" s="0" t="s">
        <v>14</v>
      </c>
      <c r="C8" s="0" t="s">
        <v>15</v>
      </c>
      <c r="D8" s="8" t="n">
        <v>4500</v>
      </c>
      <c r="E8" s="9"/>
    </row>
    <row r="9" customFormat="false" ht="14.4" hidden="false" customHeight="false" outlineLevel="0" collapsed="false">
      <c r="A9" s="0" t="s">
        <v>16</v>
      </c>
      <c r="B9" s="0" t="s">
        <v>17</v>
      </c>
      <c r="C9" s="0" t="s">
        <v>18</v>
      </c>
      <c r="D9" s="8" t="n">
        <v>14000</v>
      </c>
      <c r="E9" s="9"/>
    </row>
    <row r="10" customFormat="false" ht="14.4" hidden="false" customHeight="false" outlineLevel="0" collapsed="false">
      <c r="A10" s="0" t="s">
        <v>19</v>
      </c>
      <c r="B10" s="0" t="s">
        <v>20</v>
      </c>
      <c r="C10" s="0" t="s">
        <v>21</v>
      </c>
      <c r="D10" s="8" t="n">
        <v>8000</v>
      </c>
      <c r="E10" s="9"/>
    </row>
    <row r="11" customFormat="false" ht="14.4" hidden="false" customHeight="false" outlineLevel="0" collapsed="false">
      <c r="A11" s="0" t="s">
        <v>22</v>
      </c>
      <c r="B11" s="0" t="s">
        <v>23</v>
      </c>
      <c r="C11" s="0" t="s">
        <v>24</v>
      </c>
      <c r="D11" s="8" t="n">
        <v>6500</v>
      </c>
      <c r="E11" s="9"/>
    </row>
    <row r="12" customFormat="false" ht="14.4" hidden="false" customHeight="false" outlineLevel="0" collapsed="false">
      <c r="A12" s="0" t="s">
        <v>25</v>
      </c>
      <c r="B12" s="0" t="s">
        <v>26</v>
      </c>
      <c r="C12" s="0" t="s">
        <v>18</v>
      </c>
      <c r="D12" s="8" t="n">
        <v>12000</v>
      </c>
      <c r="E12" s="9"/>
      <c r="H12" s="10"/>
    </row>
    <row r="13" customFormat="false" ht="14.4" hidden="false" customHeight="false" outlineLevel="0" collapsed="false">
      <c r="A13" s="0" t="s">
        <v>27</v>
      </c>
      <c r="B13" s="0" t="s">
        <v>28</v>
      </c>
      <c r="C13" s="0" t="s">
        <v>29</v>
      </c>
      <c r="D13" s="8" t="n">
        <v>7890</v>
      </c>
      <c r="E13" s="9"/>
    </row>
    <row r="14" customFormat="false" ht="14.4" hidden="false" customHeight="false" outlineLevel="0" collapsed="false">
      <c r="A14" s="0" t="s">
        <v>30</v>
      </c>
      <c r="B14" s="0" t="s">
        <v>31</v>
      </c>
      <c r="C14" s="0" t="s">
        <v>12</v>
      </c>
      <c r="D14" s="8" t="n">
        <v>9008</v>
      </c>
      <c r="E14" s="9"/>
    </row>
    <row r="15" customFormat="false" ht="14.4" hidden="false" customHeight="false" outlineLevel="0" collapsed="false">
      <c r="A15" s="0" t="s">
        <v>32</v>
      </c>
      <c r="B15" s="0" t="s">
        <v>33</v>
      </c>
      <c r="C15" s="0" t="s">
        <v>34</v>
      </c>
      <c r="D15" s="8" t="n">
        <v>4500</v>
      </c>
      <c r="E15" s="9"/>
      <c r="H15" s="10"/>
    </row>
    <row r="16" customFormat="false" ht="14.4" hidden="false" customHeight="false" outlineLevel="0" collapsed="false">
      <c r="A16" s="0" t="s">
        <v>35</v>
      </c>
      <c r="B16" s="0" t="s">
        <v>36</v>
      </c>
      <c r="C16" s="0" t="s">
        <v>24</v>
      </c>
      <c r="D16" s="8" t="n">
        <v>4500</v>
      </c>
      <c r="E16" s="9"/>
    </row>
    <row r="17" customFormat="false" ht="14.4" hidden="false" customHeight="false" outlineLevel="0" collapsed="false">
      <c r="A17" s="0" t="s">
        <v>37</v>
      </c>
      <c r="B17" s="0" t="s">
        <v>38</v>
      </c>
      <c r="C17" s="0" t="s">
        <v>39</v>
      </c>
      <c r="D17" s="8" t="n">
        <v>17000</v>
      </c>
      <c r="E17" s="9"/>
    </row>
    <row r="18" customFormat="false" ht="14.4" hidden="false" customHeight="false" outlineLevel="0" collapsed="false">
      <c r="A18" s="0" t="s">
        <v>40</v>
      </c>
      <c r="B18" s="0" t="s">
        <v>41</v>
      </c>
      <c r="C18" s="0" t="s">
        <v>42</v>
      </c>
      <c r="D18" s="8" t="n">
        <v>8000</v>
      </c>
      <c r="E18" s="9"/>
      <c r="H18" s="10"/>
    </row>
    <row r="19" customFormat="false" ht="14.4" hidden="false" customHeight="false" outlineLevel="0" collapsed="false">
      <c r="A19" s="0" t="s">
        <v>43</v>
      </c>
      <c r="B19" s="0" t="s">
        <v>44</v>
      </c>
      <c r="C19" s="0" t="s">
        <v>24</v>
      </c>
      <c r="D19" s="8" t="n">
        <v>7890</v>
      </c>
      <c r="E19" s="9"/>
    </row>
    <row r="20" customFormat="false" ht="14.4" hidden="false" customHeight="false" outlineLevel="0" collapsed="false">
      <c r="A20" s="0" t="s">
        <v>45</v>
      </c>
      <c r="B20" s="0" t="s">
        <v>46</v>
      </c>
      <c r="C20" s="0" t="s">
        <v>21</v>
      </c>
      <c r="D20" s="8" t="n">
        <v>14000</v>
      </c>
      <c r="E20" s="9"/>
      <c r="H20" s="10"/>
    </row>
    <row r="21" customFormat="false" ht="14.4" hidden="false" customHeight="false" outlineLevel="0" collapsed="false">
      <c r="A21" s="0" t="s">
        <v>47</v>
      </c>
      <c r="B21" s="0" t="s">
        <v>48</v>
      </c>
      <c r="C21" s="0" t="s">
        <v>29</v>
      </c>
      <c r="D21" s="8" t="n">
        <v>4500</v>
      </c>
      <c r="E21" s="9"/>
    </row>
    <row r="22" customFormat="false" ht="14.4" hidden="false" customHeight="false" outlineLevel="0" collapsed="false">
      <c r="A22" s="0" t="s">
        <v>49</v>
      </c>
      <c r="B22" s="0" t="s">
        <v>50</v>
      </c>
      <c r="C22" s="0" t="s">
        <v>51</v>
      </c>
      <c r="D22" s="8" t="n">
        <v>12000</v>
      </c>
      <c r="E22" s="9"/>
      <c r="H22" s="10"/>
    </row>
    <row r="23" customFormat="false" ht="14.4" hidden="false" customHeight="false" outlineLevel="0" collapsed="false">
      <c r="A23" s="0" t="s">
        <v>52</v>
      </c>
      <c r="B23" s="0" t="s">
        <v>53</v>
      </c>
      <c r="C23" s="0" t="s">
        <v>54</v>
      </c>
      <c r="D23" s="8" t="n">
        <v>4500</v>
      </c>
      <c r="E23" s="9"/>
    </row>
    <row r="24" customFormat="false" ht="14.4" hidden="false" customHeight="false" outlineLevel="0" collapsed="false">
      <c r="A24" s="0" t="s">
        <v>55</v>
      </c>
      <c r="B24" s="0" t="s">
        <v>56</v>
      </c>
      <c r="C24" s="0" t="s">
        <v>42</v>
      </c>
      <c r="D24" s="8" t="n">
        <v>14000</v>
      </c>
      <c r="E24" s="9"/>
    </row>
    <row r="25" customFormat="false" ht="14.4" hidden="false" customHeight="false" outlineLevel="0" collapsed="false">
      <c r="A25" s="0" t="s">
        <v>57</v>
      </c>
      <c r="B25" s="0" t="s">
        <v>58</v>
      </c>
      <c r="C25" s="0" t="s">
        <v>54</v>
      </c>
      <c r="D25" s="8" t="n">
        <v>6700</v>
      </c>
      <c r="E25" s="9"/>
    </row>
    <row r="26" customFormat="false" ht="14.4" hidden="false" customHeight="false" outlineLevel="0" collapsed="false">
      <c r="A26" s="0" t="s">
        <v>59</v>
      </c>
      <c r="B26" s="0" t="s">
        <v>60</v>
      </c>
      <c r="C26" s="11" t="s">
        <v>21</v>
      </c>
      <c r="D26" s="8" t="n">
        <v>8900</v>
      </c>
      <c r="E26" s="9"/>
    </row>
    <row r="32" customFormat="false" ht="15.6" hidden="false" customHeight="false" outlineLevel="0" collapsed="false">
      <c r="A32" s="12" t="s">
        <v>61</v>
      </c>
      <c r="B32" s="13"/>
      <c r="C32" s="13"/>
      <c r="D32" s="13"/>
      <c r="E32" s="14"/>
      <c r="F32" s="14"/>
      <c r="G32" s="2"/>
    </row>
    <row r="33" customFormat="false" ht="15.6" hidden="false" customHeight="false" outlineLevel="0" collapsed="false">
      <c r="A33" s="15" t="s">
        <v>62</v>
      </c>
      <c r="B33" s="16"/>
      <c r="C33" s="16"/>
      <c r="D33" s="16"/>
      <c r="E33" s="16"/>
      <c r="F33" s="16"/>
      <c r="G33" s="1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customFormat="false" ht="15.6" hidden="false" customHeight="false" outlineLevel="0" collapsed="false">
      <c r="A34" s="12" t="s">
        <v>63</v>
      </c>
      <c r="B34" s="14"/>
      <c r="C34" s="14"/>
      <c r="D34" s="14"/>
      <c r="E34" s="14"/>
      <c r="F34" s="14"/>
      <c r="G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  <row r="36" customFormat="false" ht="15.6" hidden="false" customHeight="false" outlineLevel="0" collapsed="false">
      <c r="A36" s="18" t="s">
        <v>64</v>
      </c>
      <c r="B36" s="18"/>
      <c r="C36" s="18"/>
      <c r="D36" s="18"/>
      <c r="E36" s="18"/>
      <c r="F36" s="18"/>
    </row>
    <row r="37" customFormat="false" ht="15.6" hidden="false" customHeight="false" outlineLevel="0" collapsed="false">
      <c r="A37" s="18" t="s">
        <v>65</v>
      </c>
      <c r="B37" s="18"/>
      <c r="C37" s="18"/>
      <c r="D37" s="18"/>
      <c r="E37" s="18"/>
      <c r="F37" s="18"/>
    </row>
    <row r="38" customFormat="false" ht="15" hidden="false" customHeight="false" outlineLevel="0" collapsed="false">
      <c r="A38" s="19"/>
      <c r="B38" s="19"/>
      <c r="C38" s="19"/>
      <c r="D38" s="19"/>
      <c r="E38" s="19"/>
      <c r="F38" s="19"/>
    </row>
    <row r="39" customFormat="false" ht="29.4" hidden="false" customHeight="false" outlineLevel="0" collapsed="false">
      <c r="A39" s="20" t="s">
        <v>66</v>
      </c>
      <c r="B39" s="20" t="s">
        <v>67</v>
      </c>
      <c r="C39" s="20" t="s">
        <v>68</v>
      </c>
      <c r="D39" s="21" t="s">
        <v>69</v>
      </c>
      <c r="E39" s="21" t="s">
        <v>70</v>
      </c>
      <c r="F39" s="21" t="s">
        <v>71</v>
      </c>
      <c r="G39" s="21" t="s">
        <v>72</v>
      </c>
    </row>
    <row r="40" customFormat="false" ht="14.4" hidden="false" customHeight="false" outlineLevel="0" collapsed="false">
      <c r="A40" s="22" t="s">
        <v>73</v>
      </c>
      <c r="B40" s="23" t="n">
        <v>90000</v>
      </c>
      <c r="C40" s="23" t="n">
        <v>95000</v>
      </c>
      <c r="D40" s="24" t="n">
        <f aca="false">C40-B40</f>
        <v>5000</v>
      </c>
      <c r="E40" s="25" t="n">
        <f aca="false">D40/B40</f>
        <v>0.0555555555555556</v>
      </c>
      <c r="F40" s="26" t="n">
        <v>80</v>
      </c>
    </row>
    <row r="41" customFormat="false" ht="14.4" hidden="false" customHeight="false" outlineLevel="0" collapsed="false">
      <c r="A41" s="22" t="s">
        <v>74</v>
      </c>
      <c r="B41" s="23" t="n">
        <v>120000</v>
      </c>
      <c r="C41" s="23" t="n">
        <v>125000</v>
      </c>
      <c r="D41" s="24" t="n">
        <f aca="false">C41-B41</f>
        <v>5000</v>
      </c>
      <c r="E41" s="25" t="n">
        <f aca="false">D41/B41</f>
        <v>0.0416666666666667</v>
      </c>
      <c r="F41" s="26" t="n">
        <v>37</v>
      </c>
    </row>
    <row r="42" customFormat="false" ht="14.4" hidden="false" customHeight="false" outlineLevel="0" collapsed="false">
      <c r="A42" s="22" t="s">
        <v>75</v>
      </c>
      <c r="B42" s="23" t="n">
        <v>70000</v>
      </c>
      <c r="C42" s="23" t="n">
        <v>80000</v>
      </c>
      <c r="D42" s="24" t="n">
        <f aca="false">C42-B42</f>
        <v>10000</v>
      </c>
      <c r="E42" s="25" t="n">
        <f aca="false">D42/B42</f>
        <v>0.142857142857143</v>
      </c>
      <c r="F42" s="26" t="n">
        <v>45</v>
      </c>
    </row>
    <row r="43" customFormat="false" ht="14.4" hidden="false" customHeight="false" outlineLevel="0" collapsed="false">
      <c r="A43" s="22" t="s">
        <v>76</v>
      </c>
      <c r="B43" s="23" t="n">
        <v>110000</v>
      </c>
      <c r="C43" s="23" t="n">
        <v>116000</v>
      </c>
      <c r="D43" s="24" t="n">
        <f aca="false">C43-B43</f>
        <v>6000</v>
      </c>
      <c r="E43" s="25" t="n">
        <f aca="false">D43/B43</f>
        <v>0.0545454545454545</v>
      </c>
      <c r="F43" s="26" t="n">
        <v>87</v>
      </c>
    </row>
    <row r="44" customFormat="false" ht="14.4" hidden="false" customHeight="false" outlineLevel="0" collapsed="false">
      <c r="A44" s="22" t="s">
        <v>77</v>
      </c>
      <c r="B44" s="23" t="n">
        <v>115000</v>
      </c>
      <c r="C44" s="23" t="n">
        <v>145700</v>
      </c>
      <c r="D44" s="24" t="n">
        <f aca="false">C44-B44</f>
        <v>30700</v>
      </c>
      <c r="E44" s="25" t="n">
        <f aca="false">D44/B44</f>
        <v>0.26695652173913</v>
      </c>
      <c r="F44" s="26" t="n">
        <v>28</v>
      </c>
    </row>
    <row r="45" customFormat="false" ht="14.4" hidden="false" customHeight="false" outlineLevel="0" collapsed="false">
      <c r="A45" s="22" t="s">
        <v>78</v>
      </c>
      <c r="B45" s="23" t="n">
        <v>95000</v>
      </c>
      <c r="C45" s="23" t="n">
        <v>98000</v>
      </c>
      <c r="D45" s="24" t="n">
        <f aca="false">C45-B45</f>
        <v>3000</v>
      </c>
      <c r="E45" s="25" t="n">
        <f aca="false">D45/B45</f>
        <v>0.0315789473684211</v>
      </c>
      <c r="F45" s="26" t="n">
        <v>88</v>
      </c>
    </row>
    <row r="46" customFormat="false" ht="14.4" hidden="false" customHeight="false" outlineLevel="0" collapsed="false">
      <c r="A46" s="22" t="s">
        <v>79</v>
      </c>
      <c r="B46" s="23" t="n">
        <v>100000</v>
      </c>
      <c r="C46" s="23" t="n">
        <v>115000</v>
      </c>
      <c r="D46" s="24" t="n">
        <f aca="false">C46-B46</f>
        <v>15000</v>
      </c>
      <c r="E46" s="25" t="n">
        <f aca="false">D46/B46</f>
        <v>0.15</v>
      </c>
      <c r="F46" s="26" t="n">
        <v>34</v>
      </c>
    </row>
    <row r="47" customFormat="false" ht="14.4" hidden="false" customHeight="false" outlineLevel="0" collapsed="false">
      <c r="A47" s="22" t="s">
        <v>80</v>
      </c>
      <c r="B47" s="23" t="n">
        <v>220000</v>
      </c>
      <c r="C47" s="23" t="n">
        <v>224000</v>
      </c>
      <c r="D47" s="24" t="n">
        <f aca="false">C47-B47</f>
        <v>4000</v>
      </c>
      <c r="E47" s="25" t="n">
        <f aca="false">D47/B47</f>
        <v>0.0181818181818182</v>
      </c>
      <c r="F47" s="26" t="n">
        <v>75</v>
      </c>
    </row>
    <row r="48" customFormat="false" ht="14.4" hidden="false" customHeight="false" outlineLevel="0" collapsed="false">
      <c r="A48" s="22" t="s">
        <v>81</v>
      </c>
      <c r="B48" s="23" t="n">
        <v>115000</v>
      </c>
      <c r="C48" s="23" t="n">
        <v>125000</v>
      </c>
      <c r="D48" s="24" t="n">
        <f aca="false">C48-B48</f>
        <v>10000</v>
      </c>
      <c r="E48" s="25" t="n">
        <f aca="false">D48/B48</f>
        <v>0.0869565217391304</v>
      </c>
      <c r="F48" s="26" t="n">
        <v>45</v>
      </c>
    </row>
    <row r="49" customFormat="false" ht="14.4" hidden="false" customHeight="false" outlineLevel="0" collapsed="false">
      <c r="A49" s="22" t="s">
        <v>82</v>
      </c>
      <c r="B49" s="23" t="n">
        <v>200000</v>
      </c>
      <c r="C49" s="23" t="n">
        <v>210000</v>
      </c>
      <c r="D49" s="24" t="n">
        <f aca="false">C49-B49</f>
        <v>10000</v>
      </c>
      <c r="E49" s="25" t="n">
        <f aca="false">D49/B49</f>
        <v>0.05</v>
      </c>
      <c r="F49" s="26" t="n">
        <v>77</v>
      </c>
    </row>
    <row r="50" customFormat="false" ht="14.4" hidden="false" customHeight="false" outlineLevel="0" collapsed="false">
      <c r="A50" s="22" t="s">
        <v>83</v>
      </c>
      <c r="B50" s="23" t="n">
        <v>350000</v>
      </c>
      <c r="C50" s="23" t="n">
        <v>360000</v>
      </c>
      <c r="D50" s="24" t="n">
        <f aca="false">C50-B50</f>
        <v>10000</v>
      </c>
      <c r="E50" s="25" t="n">
        <f aca="false">D50/B50</f>
        <v>0.0285714285714286</v>
      </c>
      <c r="F50" s="26" t="n">
        <v>30</v>
      </c>
    </row>
    <row r="51" customFormat="false" ht="14.4" hidden="false" customHeight="false" outlineLevel="0" collapsed="false">
      <c r="A51" s="22" t="s">
        <v>84</v>
      </c>
      <c r="B51" s="23" t="n">
        <v>80000</v>
      </c>
      <c r="C51" s="23" t="n">
        <v>92000</v>
      </c>
      <c r="D51" s="24" t="n">
        <f aca="false">C51-B51</f>
        <v>12000</v>
      </c>
      <c r="E51" s="25" t="n">
        <f aca="false">D51/B51</f>
        <v>0.15</v>
      </c>
      <c r="F51" s="26" t="n">
        <v>50</v>
      </c>
    </row>
    <row r="53" customFormat="false" ht="15.6" hidden="false" customHeight="false" outlineLevel="0" collapsed="false">
      <c r="A53" s="14" t="s">
        <v>85</v>
      </c>
      <c r="B53" s="14"/>
      <c r="C53" s="14"/>
      <c r="D53" s="14"/>
      <c r="E53" s="14"/>
      <c r="F53" s="2"/>
    </row>
    <row r="54" customFormat="false" ht="15.6" hidden="false" customHeight="false" outlineLevel="0" collapsed="false">
      <c r="A54" s="14" t="s">
        <v>86</v>
      </c>
      <c r="B54" s="14"/>
      <c r="C54" s="14"/>
      <c r="D54" s="14"/>
      <c r="E54" s="14"/>
      <c r="F54" s="2"/>
    </row>
    <row r="56" customFormat="false" ht="30" hidden="false" customHeight="false" outlineLevel="0" collapsed="false">
      <c r="A56" s="4" t="s">
        <v>1</v>
      </c>
      <c r="B56" s="4"/>
      <c r="C56" s="4"/>
      <c r="D56" s="4"/>
      <c r="E56" s="4"/>
      <c r="F56" s="4"/>
    </row>
    <row r="57" customFormat="false" ht="14.4" hidden="false" customHeight="false" outlineLevel="0" collapsed="false">
      <c r="A57" s="27" t="s">
        <v>2</v>
      </c>
      <c r="B57" s="27" t="s">
        <v>3</v>
      </c>
      <c r="C57" s="27" t="s">
        <v>87</v>
      </c>
      <c r="D57" s="27" t="s">
        <v>4</v>
      </c>
      <c r="E57" s="28" t="s">
        <v>5</v>
      </c>
      <c r="F57" s="29" t="s">
        <v>88</v>
      </c>
    </row>
    <row r="58" customFormat="false" ht="14.4" hidden="false" customHeight="false" outlineLevel="0" collapsed="false">
      <c r="A58" s="0" t="s">
        <v>57</v>
      </c>
      <c r="B58" s="0" t="s">
        <v>58</v>
      </c>
      <c r="C58" s="0" t="s">
        <v>89</v>
      </c>
      <c r="D58" s="0" t="s">
        <v>54</v>
      </c>
      <c r="E58" s="8" t="n">
        <v>6700</v>
      </c>
      <c r="F58" s="30" t="n">
        <v>500</v>
      </c>
    </row>
    <row r="59" customFormat="false" ht="14.4" hidden="false" customHeight="false" outlineLevel="0" collapsed="false">
      <c r="A59" s="0" t="s">
        <v>55</v>
      </c>
      <c r="B59" s="0" t="s">
        <v>56</v>
      </c>
      <c r="C59" s="0" t="s">
        <v>89</v>
      </c>
      <c r="D59" s="0" t="s">
        <v>54</v>
      </c>
      <c r="E59" s="8" t="n">
        <v>14000</v>
      </c>
      <c r="F59" s="30" t="n">
        <v>900</v>
      </c>
    </row>
    <row r="60" customFormat="false" ht="14.4" hidden="false" customHeight="false" outlineLevel="0" collapsed="false">
      <c r="A60" s="0" t="s">
        <v>52</v>
      </c>
      <c r="B60" s="0" t="s">
        <v>53</v>
      </c>
      <c r="C60" s="0" t="s">
        <v>89</v>
      </c>
      <c r="D60" s="0" t="s">
        <v>54</v>
      </c>
      <c r="E60" s="8" t="n">
        <v>4500</v>
      </c>
      <c r="F60" s="30" t="n">
        <v>1100</v>
      </c>
      <c r="G60" s="0" t="s">
        <v>90</v>
      </c>
      <c r="H60" s="0" t="s">
        <v>91</v>
      </c>
    </row>
    <row r="61" customFormat="false" ht="14.4" hidden="false" customHeight="false" outlineLevel="0" collapsed="false">
      <c r="A61" s="0" t="s">
        <v>25</v>
      </c>
      <c r="B61" s="0" t="s">
        <v>26</v>
      </c>
      <c r="C61" s="0" t="s">
        <v>92</v>
      </c>
      <c r="D61" s="0" t="s">
        <v>18</v>
      </c>
      <c r="E61" s="8" t="n">
        <v>12000</v>
      </c>
      <c r="F61" s="30" t="n">
        <v>300</v>
      </c>
      <c r="G61" s="31" t="n">
        <f aca="false">AVERAGE(E58:E78)</f>
        <v>8623.2380952381</v>
      </c>
      <c r="H61" s="31" t="n">
        <f aca="false">AVERAGE(F58:F78)</f>
        <v>728.571428571429</v>
      </c>
    </row>
    <row r="62" customFormat="false" ht="14.4" hidden="false" customHeight="false" outlineLevel="0" collapsed="false">
      <c r="A62" s="0" t="s">
        <v>59</v>
      </c>
      <c r="B62" s="0" t="s">
        <v>60</v>
      </c>
      <c r="C62" s="0" t="s">
        <v>92</v>
      </c>
      <c r="D62" s="11" t="s">
        <v>21</v>
      </c>
      <c r="E62" s="8" t="n">
        <v>8900</v>
      </c>
      <c r="F62" s="30" t="n">
        <v>500</v>
      </c>
    </row>
    <row r="63" customFormat="false" ht="14.4" hidden="false" customHeight="false" outlineLevel="0" collapsed="false">
      <c r="A63" s="0" t="s">
        <v>43</v>
      </c>
      <c r="B63" s="0" t="s">
        <v>44</v>
      </c>
      <c r="C63" s="0" t="s">
        <v>92</v>
      </c>
      <c r="D63" s="0" t="s">
        <v>24</v>
      </c>
      <c r="E63" s="8" t="n">
        <v>7890</v>
      </c>
      <c r="F63" s="30" t="n">
        <v>1100</v>
      </c>
      <c r="G63" s="0" t="s">
        <v>93</v>
      </c>
    </row>
    <row r="64" customFormat="false" ht="14.4" hidden="false" customHeight="false" outlineLevel="0" collapsed="false">
      <c r="A64" s="0" t="s">
        <v>47</v>
      </c>
      <c r="B64" s="0" t="s">
        <v>48</v>
      </c>
      <c r="C64" s="0" t="s">
        <v>92</v>
      </c>
      <c r="D64" s="0" t="s">
        <v>29</v>
      </c>
      <c r="E64" s="8" t="n">
        <v>4500</v>
      </c>
      <c r="F64" s="30" t="n">
        <v>300</v>
      </c>
      <c r="G64" s="31" t="n">
        <f aca="false">AVERAGE(E58:F78)</f>
        <v>4675.90476190476</v>
      </c>
    </row>
    <row r="65" customFormat="false" ht="14.4" hidden="false" customHeight="false" outlineLevel="0" collapsed="false">
      <c r="A65" s="0" t="s">
        <v>16</v>
      </c>
      <c r="B65" s="0" t="s">
        <v>17</v>
      </c>
      <c r="C65" s="0" t="s">
        <v>92</v>
      </c>
      <c r="D65" s="0" t="s">
        <v>18</v>
      </c>
      <c r="E65" s="8" t="n">
        <v>14000</v>
      </c>
      <c r="F65" s="30" t="n">
        <v>1100</v>
      </c>
    </row>
    <row r="66" customFormat="false" ht="14.4" hidden="false" customHeight="false" outlineLevel="0" collapsed="false">
      <c r="A66" s="0" t="s">
        <v>37</v>
      </c>
      <c r="B66" s="0" t="s">
        <v>38</v>
      </c>
      <c r="C66" s="0" t="s">
        <v>92</v>
      </c>
      <c r="D66" s="0" t="s">
        <v>39</v>
      </c>
      <c r="E66" s="8" t="n">
        <v>17000</v>
      </c>
      <c r="F66" s="30" t="n">
        <v>900</v>
      </c>
    </row>
    <row r="67" customFormat="false" ht="14.4" hidden="false" customHeight="false" outlineLevel="0" collapsed="false">
      <c r="A67" s="0" t="s">
        <v>35</v>
      </c>
      <c r="B67" s="0" t="s">
        <v>36</v>
      </c>
      <c r="C67" s="0" t="s">
        <v>92</v>
      </c>
      <c r="D67" s="0" t="s">
        <v>24</v>
      </c>
      <c r="E67" s="8" t="n">
        <v>4500</v>
      </c>
      <c r="F67" s="30" t="n">
        <v>500</v>
      </c>
    </row>
    <row r="68" customFormat="false" ht="14.4" hidden="false" customHeight="false" outlineLevel="0" collapsed="false">
      <c r="A68" s="0" t="s">
        <v>22</v>
      </c>
      <c r="B68" s="0" t="s">
        <v>23</v>
      </c>
      <c r="C68" s="0" t="s">
        <v>92</v>
      </c>
      <c r="D68" s="0" t="s">
        <v>24</v>
      </c>
      <c r="E68" s="8" t="n">
        <v>6500</v>
      </c>
      <c r="F68" s="30" t="n">
        <v>300</v>
      </c>
    </row>
    <row r="69" customFormat="false" ht="14.4" hidden="false" customHeight="false" outlineLevel="0" collapsed="false">
      <c r="A69" s="0" t="s">
        <v>27</v>
      </c>
      <c r="B69" s="0" t="s">
        <v>28</v>
      </c>
      <c r="C69" s="0" t="s">
        <v>92</v>
      </c>
      <c r="D69" s="0" t="s">
        <v>29</v>
      </c>
      <c r="E69" s="8" t="n">
        <v>7890</v>
      </c>
      <c r="F69" s="30" t="n">
        <v>1100</v>
      </c>
    </row>
    <row r="70" customFormat="false" ht="14.4" hidden="false" customHeight="false" outlineLevel="0" collapsed="false">
      <c r="A70" s="0" t="s">
        <v>40</v>
      </c>
      <c r="B70" s="0" t="s">
        <v>41</v>
      </c>
      <c r="C70" s="0" t="s">
        <v>94</v>
      </c>
      <c r="D70" s="0" t="s">
        <v>42</v>
      </c>
      <c r="E70" s="8" t="n">
        <v>8000</v>
      </c>
      <c r="F70" s="30" t="n">
        <v>1100</v>
      </c>
    </row>
    <row r="71" customFormat="false" ht="14.4" hidden="false" customHeight="false" outlineLevel="0" collapsed="false">
      <c r="A71" s="0" t="s">
        <v>19</v>
      </c>
      <c r="B71" s="0" t="s">
        <v>20</v>
      </c>
      <c r="C71" s="0" t="s">
        <v>94</v>
      </c>
      <c r="D71" s="0" t="s">
        <v>21</v>
      </c>
      <c r="E71" s="8" t="n">
        <v>8000</v>
      </c>
      <c r="F71" s="30" t="n">
        <v>500</v>
      </c>
    </row>
    <row r="72" customFormat="false" ht="14.4" hidden="false" customHeight="false" outlineLevel="0" collapsed="false">
      <c r="A72" s="0" t="s">
        <v>45</v>
      </c>
      <c r="B72" s="0" t="s">
        <v>46</v>
      </c>
      <c r="C72" s="0" t="s">
        <v>94</v>
      </c>
      <c r="D72" s="0" t="s">
        <v>21</v>
      </c>
      <c r="E72" s="8" t="n">
        <v>14000</v>
      </c>
      <c r="F72" s="30" t="n">
        <v>300</v>
      </c>
    </row>
    <row r="73" customFormat="false" ht="14.4" hidden="false" customHeight="false" outlineLevel="0" collapsed="false">
      <c r="A73" s="0" t="s">
        <v>30</v>
      </c>
      <c r="B73" s="0" t="s">
        <v>31</v>
      </c>
      <c r="C73" s="0" t="s">
        <v>94</v>
      </c>
      <c r="D73" s="0" t="s">
        <v>12</v>
      </c>
      <c r="E73" s="8" t="n">
        <v>9008</v>
      </c>
      <c r="F73" s="30" t="n">
        <v>1100</v>
      </c>
    </row>
    <row r="74" customFormat="false" ht="14.4" hidden="false" customHeight="false" outlineLevel="0" collapsed="false">
      <c r="A74" s="0" t="s">
        <v>10</v>
      </c>
      <c r="B74" s="0" t="s">
        <v>11</v>
      </c>
      <c r="C74" s="0" t="s">
        <v>94</v>
      </c>
      <c r="D74" s="0" t="s">
        <v>12</v>
      </c>
      <c r="E74" s="8" t="n">
        <v>6700</v>
      </c>
      <c r="F74" s="30" t="n">
        <v>900</v>
      </c>
    </row>
    <row r="75" customFormat="false" ht="14.4" hidden="false" customHeight="false" outlineLevel="0" collapsed="false">
      <c r="A75" s="0" t="s">
        <v>7</v>
      </c>
      <c r="B75" s="0" t="s">
        <v>8</v>
      </c>
      <c r="C75" s="0" t="s">
        <v>95</v>
      </c>
      <c r="D75" s="0" t="s">
        <v>9</v>
      </c>
      <c r="E75" s="8" t="n">
        <v>6000</v>
      </c>
      <c r="F75" s="30" t="n">
        <v>900</v>
      </c>
    </row>
    <row r="76" customFormat="false" ht="14.4" hidden="false" customHeight="false" outlineLevel="0" collapsed="false">
      <c r="A76" s="0" t="s">
        <v>32</v>
      </c>
      <c r="B76" s="0" t="s">
        <v>33</v>
      </c>
      <c r="C76" s="0" t="s">
        <v>95</v>
      </c>
      <c r="D76" s="0" t="s">
        <v>34</v>
      </c>
      <c r="E76" s="8" t="n">
        <v>4500</v>
      </c>
      <c r="F76" s="30" t="n">
        <v>300</v>
      </c>
    </row>
    <row r="77" customFormat="false" ht="14.4" hidden="false" customHeight="false" outlineLevel="0" collapsed="false">
      <c r="A77" s="0" t="s">
        <v>49</v>
      </c>
      <c r="B77" s="0" t="s">
        <v>50</v>
      </c>
      <c r="C77" s="0" t="s">
        <v>95</v>
      </c>
      <c r="D77" s="0" t="s">
        <v>51</v>
      </c>
      <c r="E77" s="8" t="n">
        <v>12000</v>
      </c>
      <c r="F77" s="30" t="n">
        <v>1100</v>
      </c>
    </row>
    <row r="78" customFormat="false" ht="14.4" hidden="false" customHeight="false" outlineLevel="0" collapsed="false">
      <c r="A78" s="0" t="s">
        <v>13</v>
      </c>
      <c r="B78" s="0" t="s">
        <v>14</v>
      </c>
      <c r="C78" s="0" t="s">
        <v>95</v>
      </c>
      <c r="D78" s="0" t="s">
        <v>15</v>
      </c>
      <c r="E78" s="8" t="n">
        <v>4500</v>
      </c>
      <c r="F78" s="30" t="n">
        <v>500</v>
      </c>
    </row>
    <row r="80" customFormat="false" ht="15.6" hidden="false" customHeight="false" outlineLevel="0" collapsed="false">
      <c r="A80" s="1" t="s">
        <v>96</v>
      </c>
    </row>
    <row r="82" customFormat="false" ht="20.4" hidden="false" customHeight="false" outlineLevel="0" collapsed="false">
      <c r="A82" s="32" t="s">
        <v>97</v>
      </c>
      <c r="B82" s="32"/>
      <c r="C82" s="32"/>
    </row>
    <row r="83" customFormat="false" ht="18.6" hidden="false" customHeight="false" outlineLevel="0" collapsed="false">
      <c r="A83" s="33" t="s">
        <v>98</v>
      </c>
      <c r="B83" s="33"/>
      <c r="C83" s="33"/>
    </row>
    <row r="84" customFormat="false" ht="15" hidden="false" customHeight="false" outlineLevel="0" collapsed="false"/>
    <row r="85" customFormat="false" ht="14.4" hidden="false" customHeight="false" outlineLevel="0" collapsed="false">
      <c r="A85" s="26"/>
      <c r="B85" s="26"/>
      <c r="C85" s="26"/>
    </row>
    <row r="86" customFormat="false" ht="14.4" hidden="false" customHeight="false" outlineLevel="0" collapsed="false">
      <c r="A86" s="34" t="s">
        <v>99</v>
      </c>
      <c r="B86" s="35" t="s">
        <v>100</v>
      </c>
      <c r="C86" s="35" t="s">
        <v>101</v>
      </c>
    </row>
    <row r="87" customFormat="false" ht="14.4" hidden="false" customHeight="false" outlineLevel="0" collapsed="false">
      <c r="A87" s="0" t="s">
        <v>102</v>
      </c>
      <c r="B87" s="0" t="s">
        <v>103</v>
      </c>
    </row>
    <row r="88" customFormat="false" ht="14.4" hidden="false" customHeight="false" outlineLevel="0" collapsed="false">
      <c r="A88" s="0" t="s">
        <v>104</v>
      </c>
      <c r="B88" s="0" t="s">
        <v>105</v>
      </c>
    </row>
    <row r="89" customFormat="false" ht="14.4" hidden="false" customHeight="false" outlineLevel="0" collapsed="false">
      <c r="A89" s="0" t="s">
        <v>106</v>
      </c>
      <c r="B89" s="0" t="s">
        <v>107</v>
      </c>
    </row>
    <row r="90" customFormat="false" ht="14.4" hidden="false" customHeight="false" outlineLevel="0" collapsed="false">
      <c r="A90" s="0" t="s">
        <v>108</v>
      </c>
      <c r="B90" s="0" t="s">
        <v>109</v>
      </c>
    </row>
    <row r="91" customFormat="false" ht="14.4" hidden="false" customHeight="false" outlineLevel="0" collapsed="false">
      <c r="A91" s="0" t="s">
        <v>110</v>
      </c>
      <c r="B91" s="0" t="s">
        <v>107</v>
      </c>
    </row>
    <row r="92" customFormat="false" ht="14.4" hidden="false" customHeight="false" outlineLevel="0" collapsed="false">
      <c r="A92" s="0" t="s">
        <v>111</v>
      </c>
      <c r="B92" s="0" t="s">
        <v>105</v>
      </c>
    </row>
    <row r="93" customFormat="false" ht="14.4" hidden="false" customHeight="false" outlineLevel="0" collapsed="false">
      <c r="A93" s="0" t="s">
        <v>112</v>
      </c>
      <c r="B93" s="0" t="s">
        <v>103</v>
      </c>
    </row>
    <row r="94" customFormat="false" ht="14.4" hidden="false" customHeight="false" outlineLevel="0" collapsed="false">
      <c r="A94" s="0" t="s">
        <v>113</v>
      </c>
      <c r="B94" s="0" t="s">
        <v>105</v>
      </c>
    </row>
    <row r="95" customFormat="false" ht="14.4" hidden="false" customHeight="false" outlineLevel="0" collapsed="false">
      <c r="A95" s="0" t="s">
        <v>114</v>
      </c>
      <c r="B95" s="0" t="s">
        <v>109</v>
      </c>
    </row>
    <row r="96" customFormat="false" ht="14.4" hidden="false" customHeight="false" outlineLevel="0" collapsed="false">
      <c r="A96" s="0" t="s">
        <v>115</v>
      </c>
      <c r="B96" s="0" t="s">
        <v>109</v>
      </c>
    </row>
    <row r="97" customFormat="false" ht="14.4" hidden="false" customHeight="false" outlineLevel="0" collapsed="false">
      <c r="A97" s="0" t="s">
        <v>116</v>
      </c>
      <c r="B97" s="0" t="s">
        <v>105</v>
      </c>
    </row>
    <row r="98" customFormat="false" ht="14.4" hidden="false" customHeight="false" outlineLevel="0" collapsed="false">
      <c r="A98" s="0" t="s">
        <v>117</v>
      </c>
      <c r="B98" s="0" t="s">
        <v>107</v>
      </c>
    </row>
    <row r="99" customFormat="false" ht="14.4" hidden="false" customHeight="false" outlineLevel="0" collapsed="false">
      <c r="A99" s="0" t="s">
        <v>118</v>
      </c>
      <c r="B99" s="0" t="s">
        <v>103</v>
      </c>
    </row>
    <row r="101" customFormat="false" ht="15.6" hidden="false" customHeight="false" outlineLevel="0" collapsed="false">
      <c r="A101" s="1" t="s">
        <v>119</v>
      </c>
      <c r="B101" s="2"/>
      <c r="C101" s="2"/>
      <c r="D101" s="2"/>
      <c r="E101" s="2"/>
      <c r="F101" s="2"/>
      <c r="G101" s="2"/>
      <c r="H101" s="2"/>
    </row>
    <row r="102" customFormat="false" ht="14.4" hidden="false" customHeight="false" outlineLevel="0" collapsed="false">
      <c r="A102" s="2" t="s">
        <v>120</v>
      </c>
      <c r="B102" s="2"/>
      <c r="C102" s="2"/>
      <c r="D102" s="2"/>
      <c r="E102" s="2"/>
      <c r="F102" s="2"/>
      <c r="G102" s="2"/>
      <c r="H102" s="2"/>
    </row>
    <row r="103" customFormat="false" ht="14.4" hidden="false" customHeight="false" outlineLevel="0" collapsed="false">
      <c r="A103" s="2" t="s">
        <v>121</v>
      </c>
      <c r="B103" s="2"/>
      <c r="C103" s="2"/>
      <c r="D103" s="2"/>
      <c r="E103" s="2"/>
      <c r="F103" s="2"/>
      <c r="G103" s="2"/>
      <c r="H103" s="2"/>
    </row>
    <row r="105" customFormat="false" ht="20.4" hidden="false" customHeight="false" outlineLevel="0" collapsed="false">
      <c r="A105" s="36" t="s">
        <v>122</v>
      </c>
      <c r="B105" s="36"/>
      <c r="C105" s="36"/>
      <c r="D105" s="36"/>
    </row>
    <row r="106" customFormat="false" ht="20.4" hidden="false" customHeight="false" outlineLevel="0" collapsed="false">
      <c r="A106" s="36" t="s">
        <v>123</v>
      </c>
      <c r="B106" s="36"/>
      <c r="C106" s="36"/>
      <c r="D106" s="36"/>
    </row>
    <row r="108" customFormat="false" ht="14.4" hidden="false" customHeight="false" outlineLevel="0" collapsed="false">
      <c r="A108" s="37" t="s">
        <v>124</v>
      </c>
      <c r="B108" s="37" t="s">
        <v>125</v>
      </c>
      <c r="C108" s="37" t="s">
        <v>126</v>
      </c>
      <c r="D108" s="37" t="s">
        <v>127</v>
      </c>
      <c r="E108" s="37" t="s">
        <v>128</v>
      </c>
      <c r="F108" s="37" t="s">
        <v>129</v>
      </c>
      <c r="G108" s="26"/>
      <c r="H108" s="26"/>
    </row>
    <row r="109" customFormat="false" ht="14.4" hidden="false" customHeight="false" outlineLevel="0" collapsed="false">
      <c r="A109" s="0" t="n">
        <v>1997</v>
      </c>
      <c r="B109" s="38" t="n">
        <v>8402995</v>
      </c>
      <c r="C109" s="38" t="n">
        <v>125445</v>
      </c>
      <c r="D109" s="38" t="n">
        <v>178166</v>
      </c>
      <c r="E109" s="38" t="n">
        <v>12585187</v>
      </c>
    </row>
    <row r="110" customFormat="false" ht="14.4" hidden="false" customHeight="false" outlineLevel="0" collapsed="false">
      <c r="A110" s="0" t="n">
        <v>1998</v>
      </c>
      <c r="B110" s="38" t="n">
        <v>9086209</v>
      </c>
      <c r="C110" s="38" t="n">
        <v>176443</v>
      </c>
      <c r="D110" s="38" t="n">
        <v>222100</v>
      </c>
      <c r="E110" s="38" t="n">
        <v>13562820</v>
      </c>
    </row>
    <row r="111" customFormat="false" ht="14.4" hidden="false" customHeight="false" outlineLevel="0" collapsed="false">
      <c r="A111" s="0" t="n">
        <v>1999</v>
      </c>
      <c r="B111" s="38" t="n">
        <v>9582796</v>
      </c>
      <c r="C111" s="38" t="n">
        <v>200357</v>
      </c>
      <c r="D111" s="38" t="n">
        <v>262599</v>
      </c>
      <c r="E111" s="38" t="n">
        <v>14385864</v>
      </c>
    </row>
    <row r="112" customFormat="false" ht="14.4" hidden="false" customHeight="false" outlineLevel="0" collapsed="false">
      <c r="A112" s="0" t="n">
        <v>2000</v>
      </c>
      <c r="B112" s="38" t="n">
        <v>10176179</v>
      </c>
      <c r="C112" s="38" t="n">
        <v>202396</v>
      </c>
      <c r="D112" s="38" t="n">
        <v>293924</v>
      </c>
      <c r="E112" s="38" t="n">
        <v>15611916</v>
      </c>
    </row>
    <row r="113" customFormat="false" ht="14.4" hidden="false" customHeight="false" outlineLevel="0" collapsed="false">
      <c r="A113" s="0" t="n">
        <v>2001</v>
      </c>
      <c r="B113" s="38" t="n">
        <v>11351982</v>
      </c>
      <c r="C113" s="38" t="n">
        <v>273536</v>
      </c>
      <c r="D113" s="38" t="n">
        <v>280806</v>
      </c>
      <c r="E113" s="38" t="n">
        <v>17300530</v>
      </c>
    </row>
    <row r="114" customFormat="false" ht="14.4" hidden="false" customHeight="false" outlineLevel="0" collapsed="false">
      <c r="A114" s="0" t="n">
        <v>2002</v>
      </c>
      <c r="B114" s="38" t="n">
        <v>12254910</v>
      </c>
      <c r="C114" s="38" t="n">
        <v>299365</v>
      </c>
      <c r="D114" s="38" t="n">
        <v>369522</v>
      </c>
      <c r="E114" s="38" t="n">
        <v>18784594</v>
      </c>
    </row>
    <row r="115" customFormat="false" ht="14.4" hidden="false" customHeight="false" outlineLevel="0" collapsed="false">
      <c r="A115" s="0" t="n">
        <v>2003</v>
      </c>
      <c r="B115" s="38" t="n">
        <v>12742049</v>
      </c>
      <c r="C115" s="38" t="n">
        <v>308101</v>
      </c>
      <c r="D115" s="38" t="n">
        <v>439517</v>
      </c>
      <c r="E115" s="38" t="n">
        <v>19806960</v>
      </c>
    </row>
    <row r="116" customFormat="false" ht="14.4" hidden="false" customHeight="false" outlineLevel="0" collapsed="false">
      <c r="A116" s="0" t="n">
        <v>2004</v>
      </c>
      <c r="B116" s="38" t="n">
        <v>13388011</v>
      </c>
      <c r="C116" s="38" t="n">
        <v>264585</v>
      </c>
      <c r="D116" s="38" t="n">
        <v>518307</v>
      </c>
      <c r="E116" s="38" t="n">
        <v>20878438</v>
      </c>
    </row>
    <row r="117" customFormat="false" ht="14.4" hidden="false" customHeight="false" outlineLevel="0" collapsed="false">
      <c r="A117" s="0" t="n">
        <v>2005</v>
      </c>
      <c r="B117" s="38" t="n">
        <v>14661820</v>
      </c>
      <c r="C117" s="38" t="n">
        <v>275939</v>
      </c>
      <c r="D117" s="38" t="n">
        <v>605954</v>
      </c>
      <c r="E117" s="38" t="n">
        <v>22651487</v>
      </c>
    </row>
    <row r="119" customFormat="false" ht="14.4" hidden="false" customHeight="false" outlineLevel="0" collapsed="false">
      <c r="A119" s="0" t="s">
        <v>130</v>
      </c>
    </row>
    <row r="122" customFormat="false" ht="15.6" hidden="false" customHeight="false" outlineLevel="0" collapsed="false">
      <c r="A122" s="1" t="s">
        <v>131</v>
      </c>
    </row>
    <row r="124" customFormat="false" ht="14.4" hidden="false" customHeight="false" outlineLevel="0" collapsed="false">
      <c r="B124" s="39" t="s">
        <v>132</v>
      </c>
      <c r="C124" s="39"/>
      <c r="D124" s="39"/>
      <c r="E124" s="39"/>
    </row>
    <row r="125" customFormat="false" ht="14.4" hidden="false" customHeight="false" outlineLevel="0" collapsed="false">
      <c r="B125" s="39"/>
      <c r="C125" s="39"/>
      <c r="D125" s="39"/>
      <c r="E125" s="39"/>
    </row>
    <row r="126" customFormat="false" ht="14.4" hidden="false" customHeight="false" outlineLevel="0" collapsed="false">
      <c r="B126" s="0" t="s">
        <v>133</v>
      </c>
      <c r="C126" s="0" t="s">
        <v>134</v>
      </c>
      <c r="D126" s="0" t="s">
        <v>128</v>
      </c>
      <c r="E126" s="0" t="s">
        <v>135</v>
      </c>
    </row>
    <row r="127" customFormat="false" ht="14.4" hidden="false" customHeight="false" outlineLevel="0" collapsed="false">
      <c r="B127" s="0" t="s">
        <v>136</v>
      </c>
      <c r="C127" s="0" t="s">
        <v>137</v>
      </c>
      <c r="D127" s="0" t="n">
        <v>77</v>
      </c>
      <c r="E127" s="0" t="n">
        <v>36</v>
      </c>
    </row>
    <row r="128" customFormat="false" ht="14.4" hidden="false" customHeight="false" outlineLevel="0" collapsed="false">
      <c r="B128" s="0" t="s">
        <v>138</v>
      </c>
      <c r="C128" s="0" t="s">
        <v>139</v>
      </c>
      <c r="D128" s="0" t="n">
        <v>47</v>
      </c>
      <c r="E128" s="0" t="n">
        <v>95</v>
      </c>
    </row>
    <row r="129" customFormat="false" ht="14.4" hidden="false" customHeight="false" outlineLevel="0" collapsed="false">
      <c r="B129" s="0" t="s">
        <v>140</v>
      </c>
      <c r="C129" s="0" t="s">
        <v>141</v>
      </c>
      <c r="D129" s="0" t="n">
        <v>95</v>
      </c>
      <c r="E129" s="0" t="n">
        <v>26</v>
      </c>
    </row>
    <row r="130" customFormat="false" ht="14.4" hidden="false" customHeight="false" outlineLevel="0" collapsed="false">
      <c r="B130" s="0" t="s">
        <v>142</v>
      </c>
      <c r="C130" s="0" t="s">
        <v>143</v>
      </c>
      <c r="D130" s="0" t="n">
        <v>26</v>
      </c>
      <c r="E130" s="0" t="n">
        <v>57</v>
      </c>
    </row>
    <row r="131" customFormat="false" ht="14.4" hidden="false" customHeight="false" outlineLevel="0" collapsed="false">
      <c r="B131" s="0" t="s">
        <v>144</v>
      </c>
      <c r="C131" s="0" t="s">
        <v>145</v>
      </c>
      <c r="D131" s="0" t="n">
        <v>57</v>
      </c>
      <c r="E131" s="0" t="n">
        <v>20</v>
      </c>
    </row>
    <row r="132" customFormat="false" ht="14.4" hidden="false" customHeight="false" outlineLevel="0" collapsed="false">
      <c r="B132" s="0" t="s">
        <v>146</v>
      </c>
      <c r="C132" s="0" t="s">
        <v>147</v>
      </c>
      <c r="D132" s="0" t="n">
        <v>48</v>
      </c>
      <c r="E132" s="0" t="n">
        <v>36</v>
      </c>
    </row>
    <row r="133" customFormat="false" ht="14.4" hidden="false" customHeight="false" outlineLevel="0" collapsed="false">
      <c r="B133" s="0" t="s">
        <v>148</v>
      </c>
      <c r="C133" s="0" t="s">
        <v>149</v>
      </c>
      <c r="D133" s="0" t="n">
        <v>26</v>
      </c>
      <c r="E133" s="0" t="n">
        <v>47</v>
      </c>
    </row>
    <row r="134" customFormat="false" ht="14.4" hidden="false" customHeight="false" outlineLevel="0" collapsed="false">
      <c r="B134" s="0" t="s">
        <v>150</v>
      </c>
      <c r="C134" s="0" t="s">
        <v>151</v>
      </c>
      <c r="D134" s="0" t="n">
        <v>94</v>
      </c>
      <c r="E134" s="0" t="n">
        <v>57</v>
      </c>
    </row>
    <row r="135" customFormat="false" ht="14.4" hidden="false" customHeight="false" outlineLevel="0" collapsed="false">
      <c r="B135" s="0" t="s">
        <v>152</v>
      </c>
      <c r="C135" s="0" t="s">
        <v>153</v>
      </c>
      <c r="D135" s="0" t="n">
        <v>67</v>
      </c>
      <c r="E135" s="0" t="n">
        <v>25</v>
      </c>
    </row>
    <row r="138" customFormat="false" ht="15.6" hidden="false" customHeight="false" outlineLevel="0" collapsed="false">
      <c r="A138" s="15" t="s">
        <v>154</v>
      </c>
    </row>
    <row r="139" customFormat="false" ht="14.4" hidden="false" customHeight="false" outlineLevel="0" collapsed="false">
      <c r="A139" s="40" t="s">
        <v>155</v>
      </c>
    </row>
    <row r="141" customFormat="false" ht="14.4" hidden="false" customHeight="false" outlineLevel="0" collapsed="false">
      <c r="B141" s="0" t="s">
        <v>124</v>
      </c>
      <c r="C141" s="0" t="s">
        <v>125</v>
      </c>
      <c r="D141" s="0" t="s">
        <v>126</v>
      </c>
      <c r="E141" s="0" t="s">
        <v>127</v>
      </c>
      <c r="F141" s="0" t="s">
        <v>128</v>
      </c>
    </row>
    <row r="142" customFormat="false" ht="14.4" hidden="false" customHeight="false" outlineLevel="0" collapsed="false">
      <c r="B142" s="0" t="n">
        <v>1997</v>
      </c>
      <c r="C142" s="38" t="n">
        <v>8402995</v>
      </c>
      <c r="D142" s="38" t="n">
        <v>125445</v>
      </c>
      <c r="E142" s="38" t="n">
        <v>178166</v>
      </c>
      <c r="F142" s="38" t="n">
        <v>12585187</v>
      </c>
    </row>
    <row r="143" customFormat="false" ht="14.4" hidden="false" customHeight="false" outlineLevel="0" collapsed="false">
      <c r="B143" s="0" t="n">
        <v>1998</v>
      </c>
      <c r="C143" s="38" t="n">
        <v>9086209</v>
      </c>
      <c r="D143" s="38" t="n">
        <v>176443</v>
      </c>
      <c r="E143" s="38" t="n">
        <v>222100</v>
      </c>
      <c r="F143" s="38" t="n">
        <v>13562820</v>
      </c>
    </row>
    <row r="144" customFormat="false" ht="14.4" hidden="false" customHeight="false" outlineLevel="0" collapsed="false">
      <c r="B144" s="0" t="n">
        <v>1999</v>
      </c>
      <c r="C144" s="38" t="n">
        <v>9582796</v>
      </c>
      <c r="D144" s="38" t="n">
        <v>200357</v>
      </c>
      <c r="E144" s="38" t="n">
        <v>262599</v>
      </c>
      <c r="F144" s="38" t="n">
        <v>14385864</v>
      </c>
    </row>
    <row r="145" customFormat="false" ht="14.4" hidden="false" customHeight="false" outlineLevel="0" collapsed="false">
      <c r="B145" s="0" t="n">
        <v>2000</v>
      </c>
      <c r="C145" s="38" t="n">
        <v>10176179</v>
      </c>
      <c r="D145" s="38" t="n">
        <v>202396</v>
      </c>
      <c r="E145" s="38" t="n">
        <v>293924</v>
      </c>
      <c r="F145" s="38" t="n">
        <v>15611916</v>
      </c>
    </row>
    <row r="146" customFormat="false" ht="14.4" hidden="false" customHeight="false" outlineLevel="0" collapsed="false">
      <c r="B146" s="0" t="n">
        <v>2001</v>
      </c>
      <c r="C146" s="38" t="n">
        <v>11351982</v>
      </c>
      <c r="D146" s="38" t="n">
        <v>273536</v>
      </c>
      <c r="E146" s="38" t="n">
        <v>280806</v>
      </c>
      <c r="F146" s="38" t="n">
        <v>17300530</v>
      </c>
    </row>
    <row r="147" customFormat="false" ht="14.4" hidden="false" customHeight="false" outlineLevel="0" collapsed="false">
      <c r="B147" s="0" t="n">
        <v>2002</v>
      </c>
      <c r="C147" s="38" t="n">
        <v>12254910</v>
      </c>
      <c r="D147" s="38" t="n">
        <v>299365</v>
      </c>
      <c r="E147" s="38" t="n">
        <v>369522</v>
      </c>
      <c r="F147" s="38" t="n">
        <v>18784594</v>
      </c>
    </row>
    <row r="148" customFormat="false" ht="14.4" hidden="false" customHeight="false" outlineLevel="0" collapsed="false">
      <c r="B148" s="0" t="n">
        <v>2003</v>
      </c>
      <c r="C148" s="38" t="n">
        <v>12742049</v>
      </c>
      <c r="D148" s="38" t="n">
        <v>308101</v>
      </c>
      <c r="E148" s="38" t="n">
        <v>439517</v>
      </c>
      <c r="F148" s="38" t="n">
        <v>19806960</v>
      </c>
    </row>
    <row r="149" customFormat="false" ht="14.4" hidden="false" customHeight="false" outlineLevel="0" collapsed="false">
      <c r="B149" s="0" t="n">
        <v>2004</v>
      </c>
      <c r="C149" s="38" t="n">
        <v>13388011</v>
      </c>
      <c r="D149" s="38" t="n">
        <v>264585</v>
      </c>
      <c r="E149" s="38" t="n">
        <v>518307</v>
      </c>
      <c r="F149" s="38" t="n">
        <v>20878438</v>
      </c>
    </row>
    <row r="150" customFormat="false" ht="14.4" hidden="false" customHeight="false" outlineLevel="0" collapsed="false">
      <c r="B150" s="0" t="n">
        <v>2005</v>
      </c>
      <c r="C150" s="38" t="n">
        <v>14661820</v>
      </c>
      <c r="D150" s="38" t="n">
        <v>275939</v>
      </c>
      <c r="E150" s="38" t="n">
        <v>605954</v>
      </c>
      <c r="F150" s="38" t="n">
        <v>22651487</v>
      </c>
    </row>
    <row r="153" customFormat="false" ht="15.6" hidden="false" customHeight="false" outlineLevel="0" collapsed="false">
      <c r="A153" s="1" t="s">
        <v>156</v>
      </c>
    </row>
    <row r="154" customFormat="false" ht="15" hidden="false" customHeight="false" outlineLevel="0" collapsed="false"/>
    <row r="155" customFormat="false" ht="15.6" hidden="false" customHeight="false" outlineLevel="0" collapsed="false">
      <c r="B155" s="41" t="s">
        <v>157</v>
      </c>
      <c r="C155" s="41"/>
      <c r="D155" s="41"/>
    </row>
    <row r="156" customFormat="false" ht="15" hidden="false" customHeight="false" outlineLevel="0" collapsed="false"/>
    <row r="157" customFormat="false" ht="14.4" hidden="false" customHeight="false" outlineLevel="0" collapsed="false">
      <c r="A157" s="0" t="s">
        <v>158</v>
      </c>
      <c r="B157" s="42" t="s">
        <v>159</v>
      </c>
      <c r="C157" s="42" t="s">
        <v>160</v>
      </c>
      <c r="D157" s="42" t="s">
        <v>128</v>
      </c>
    </row>
    <row r="158" customFormat="false" ht="14.4" hidden="false" customHeight="false" outlineLevel="0" collapsed="false">
      <c r="A158" s="43" t="n">
        <v>39508</v>
      </c>
      <c r="B158" s="42" t="n">
        <v>876</v>
      </c>
      <c r="C158" s="42" t="n">
        <v>475</v>
      </c>
      <c r="D158" s="42" t="n">
        <f aca="false">SUM(B158:C158)</f>
        <v>1351</v>
      </c>
    </row>
    <row r="159" customFormat="false" ht="14.4" hidden="false" customHeight="false" outlineLevel="0" collapsed="false">
      <c r="A159" s="43" t="n">
        <v>39509</v>
      </c>
      <c r="B159" s="42" t="n">
        <v>365</v>
      </c>
      <c r="C159" s="42" t="n">
        <v>596</v>
      </c>
      <c r="D159" s="42" t="n">
        <f aca="false">SUM(B159:C159)</f>
        <v>961</v>
      </c>
    </row>
    <row r="160" customFormat="false" ht="14.4" hidden="false" customHeight="false" outlineLevel="0" collapsed="false">
      <c r="A160" s="43" t="n">
        <v>39510</v>
      </c>
      <c r="B160" s="42" t="n">
        <v>488</v>
      </c>
      <c r="C160" s="42" t="n">
        <v>890</v>
      </c>
      <c r="D160" s="42" t="n">
        <f aca="false">SUM(B160:C160)</f>
        <v>1378</v>
      </c>
    </row>
    <row r="161" customFormat="false" ht="14.4" hidden="false" customHeight="false" outlineLevel="0" collapsed="false">
      <c r="A161" s="43" t="n">
        <v>39511</v>
      </c>
      <c r="B161" s="42" t="n">
        <v>354</v>
      </c>
      <c r="C161" s="42" t="n">
        <v>484</v>
      </c>
      <c r="D161" s="42" t="n">
        <f aca="false">SUM(B161:C161)</f>
        <v>838</v>
      </c>
    </row>
    <row r="162" customFormat="false" ht="14.4" hidden="false" customHeight="false" outlineLevel="0" collapsed="false">
      <c r="A162" s="43" t="n">
        <v>39512</v>
      </c>
      <c r="B162" s="42" t="n">
        <v>927</v>
      </c>
      <c r="C162" s="42" t="n">
        <v>202</v>
      </c>
      <c r="D162" s="42" t="n">
        <f aca="false">SUM(B162:C162)</f>
        <v>1129</v>
      </c>
    </row>
    <row r="163" customFormat="false" ht="14.4" hidden="false" customHeight="false" outlineLevel="0" collapsed="false">
      <c r="A163" s="43" t="n">
        <v>39513</v>
      </c>
      <c r="B163" s="42" t="n">
        <v>596</v>
      </c>
      <c r="C163" s="42" t="n">
        <v>384</v>
      </c>
      <c r="D163" s="42" t="n">
        <f aca="false">SUM(B163:C163)</f>
        <v>980</v>
      </c>
    </row>
    <row r="164" customFormat="false" ht="14.4" hidden="false" customHeight="false" outlineLevel="0" collapsed="false">
      <c r="A164" s="43" t="n">
        <v>39514</v>
      </c>
      <c r="B164" s="42" t="n">
        <v>577</v>
      </c>
      <c r="C164" s="42" t="n">
        <v>252</v>
      </c>
      <c r="D164" s="42" t="n">
        <f aca="false">SUM(B164:C164)</f>
        <v>829</v>
      </c>
    </row>
    <row r="165" customFormat="false" ht="14.4" hidden="false" customHeight="false" outlineLevel="0" collapsed="false">
      <c r="A165" s="43" t="n">
        <v>39515</v>
      </c>
      <c r="B165" s="42" t="n">
        <v>830</v>
      </c>
      <c r="C165" s="42" t="n">
        <v>243</v>
      </c>
      <c r="D165" s="42" t="n">
        <f aca="false">SUM(B165:C165)</f>
        <v>1073</v>
      </c>
    </row>
    <row r="166" customFormat="false" ht="14.4" hidden="false" customHeight="false" outlineLevel="0" collapsed="false">
      <c r="A166" s="43" t="n">
        <v>39516</v>
      </c>
      <c r="B166" s="42" t="n">
        <v>500</v>
      </c>
      <c r="C166" s="42" t="n">
        <v>475</v>
      </c>
      <c r="D166" s="42" t="n">
        <f aca="false">SUM(B166:C166)</f>
        <v>975</v>
      </c>
    </row>
    <row r="167" customFormat="false" ht="14.4" hidden="false" customHeight="false" outlineLevel="0" collapsed="false">
      <c r="A167" s="43" t="n">
        <v>39517</v>
      </c>
      <c r="B167" s="42" t="n">
        <v>367</v>
      </c>
      <c r="C167" s="42" t="n">
        <v>930</v>
      </c>
      <c r="D167" s="42" t="n">
        <f aca="false">SUM(B167:C167)</f>
        <v>1297</v>
      </c>
    </row>
    <row r="168" customFormat="false" ht="14.4" hidden="false" customHeight="false" outlineLevel="0" collapsed="false">
      <c r="A168" s="43" t="n">
        <v>39518</v>
      </c>
      <c r="B168" s="42" t="n">
        <v>263</v>
      </c>
      <c r="C168" s="42" t="n">
        <v>464</v>
      </c>
      <c r="D168" s="42" t="n">
        <f aca="false">SUM(B168:C168)</f>
        <v>727</v>
      </c>
    </row>
    <row r="169" customFormat="false" ht="14.4" hidden="false" customHeight="false" outlineLevel="0" collapsed="false">
      <c r="A169" s="43" t="n">
        <v>39519</v>
      </c>
      <c r="B169" s="42" t="n">
        <v>950</v>
      </c>
      <c r="C169" s="42" t="n">
        <v>344</v>
      </c>
      <c r="D169" s="42" t="n">
        <f aca="false">SUM(B169:C169)</f>
        <v>1294</v>
      </c>
    </row>
    <row r="170" customFormat="false" ht="14.4" hidden="false" customHeight="false" outlineLevel="0" collapsed="false">
      <c r="A170" s="43" t="n">
        <v>39520</v>
      </c>
      <c r="B170" s="42" t="n">
        <v>567</v>
      </c>
      <c r="C170" s="42" t="n">
        <v>398</v>
      </c>
      <c r="D170" s="42" t="n">
        <f aca="false">SUM(B170:C170)</f>
        <v>965</v>
      </c>
    </row>
    <row r="171" customFormat="false" ht="14.4" hidden="false" customHeight="false" outlineLevel="0" collapsed="false">
      <c r="A171" s="43" t="n">
        <v>39521</v>
      </c>
      <c r="B171" s="42" t="n">
        <v>405</v>
      </c>
      <c r="C171" s="42" t="n">
        <v>584</v>
      </c>
      <c r="D171" s="42" t="n">
        <f aca="false">SUM(B171:C171)</f>
        <v>989</v>
      </c>
    </row>
    <row r="172" customFormat="false" ht="14.4" hidden="false" customHeight="false" outlineLevel="0" collapsed="false">
      <c r="A172" s="43" t="n">
        <v>39522</v>
      </c>
      <c r="B172" s="42" t="n">
        <v>575</v>
      </c>
      <c r="C172" s="42" t="n">
        <v>390</v>
      </c>
      <c r="D172" s="42" t="n">
        <f aca="false">SUM(B172:C172)</f>
        <v>965</v>
      </c>
    </row>
    <row r="174" customFormat="false" ht="15.6" hidden="false" customHeight="false" outlineLevel="0" collapsed="false">
      <c r="A174" s="1" t="s">
        <v>161</v>
      </c>
    </row>
    <row r="176" customFormat="false" ht="30" hidden="false" customHeight="false" outlineLevel="0" collapsed="false">
      <c r="A176" s="4" t="s">
        <v>1</v>
      </c>
      <c r="B176" s="4"/>
      <c r="C176" s="4"/>
      <c r="D176" s="4"/>
      <c r="E176" s="4"/>
    </row>
    <row r="177" customFormat="false" ht="14.4" hidden="false" customHeight="false" outlineLevel="0" collapsed="false">
      <c r="A177" s="5" t="s">
        <v>2</v>
      </c>
      <c r="B177" s="5" t="s">
        <v>3</v>
      </c>
      <c r="C177" s="5" t="s">
        <v>4</v>
      </c>
      <c r="D177" s="6" t="s">
        <v>5</v>
      </c>
      <c r="E177" s="7"/>
    </row>
    <row r="178" customFormat="false" ht="14.4" hidden="false" customHeight="false" outlineLevel="0" collapsed="false">
      <c r="A178" s="0" t="s">
        <v>7</v>
      </c>
      <c r="B178" s="0" t="s">
        <v>8</v>
      </c>
      <c r="C178" s="0" t="s">
        <v>9</v>
      </c>
      <c r="D178" s="8" t="n">
        <v>6000</v>
      </c>
      <c r="E178" s="9"/>
    </row>
    <row r="179" customFormat="false" ht="14.4" hidden="false" customHeight="false" outlineLevel="0" collapsed="false">
      <c r="A179" s="0" t="s">
        <v>10</v>
      </c>
      <c r="B179" s="0" t="s">
        <v>11</v>
      </c>
      <c r="C179" s="0" t="s">
        <v>12</v>
      </c>
      <c r="D179" s="8" t="n">
        <v>6700</v>
      </c>
      <c r="E179" s="9"/>
    </row>
    <row r="180" customFormat="false" ht="14.4" hidden="false" customHeight="false" outlineLevel="0" collapsed="false">
      <c r="A180" s="0" t="s">
        <v>13</v>
      </c>
      <c r="B180" s="0" t="s">
        <v>14</v>
      </c>
      <c r="C180" s="0" t="s">
        <v>15</v>
      </c>
      <c r="D180" s="8" t="n">
        <v>4500</v>
      </c>
      <c r="E180" s="9"/>
    </row>
    <row r="181" customFormat="false" ht="14.4" hidden="false" customHeight="false" outlineLevel="0" collapsed="false">
      <c r="A181" s="0" t="s">
        <v>16</v>
      </c>
      <c r="B181" s="0" t="s">
        <v>17</v>
      </c>
      <c r="C181" s="0" t="s">
        <v>18</v>
      </c>
      <c r="D181" s="8" t="n">
        <v>14000</v>
      </c>
      <c r="E181" s="9"/>
    </row>
    <row r="182" customFormat="false" ht="14.4" hidden="false" customHeight="false" outlineLevel="0" collapsed="false">
      <c r="A182" s="0" t="s">
        <v>19</v>
      </c>
      <c r="B182" s="0" t="s">
        <v>20</v>
      </c>
      <c r="C182" s="0" t="s">
        <v>21</v>
      </c>
      <c r="D182" s="8" t="n">
        <v>8000</v>
      </c>
      <c r="E182" s="9"/>
    </row>
    <row r="183" customFormat="false" ht="14.4" hidden="false" customHeight="false" outlineLevel="0" collapsed="false">
      <c r="A183" s="0" t="s">
        <v>19</v>
      </c>
      <c r="B183" s="0" t="s">
        <v>20</v>
      </c>
      <c r="C183" s="0" t="s">
        <v>21</v>
      </c>
      <c r="D183" s="8" t="n">
        <v>8000</v>
      </c>
      <c r="E183" s="9"/>
    </row>
    <row r="184" customFormat="false" ht="14.4" hidden="false" customHeight="false" outlineLevel="0" collapsed="false">
      <c r="A184" s="0" t="s">
        <v>22</v>
      </c>
      <c r="B184" s="0" t="s">
        <v>23</v>
      </c>
      <c r="C184" s="0" t="s">
        <v>24</v>
      </c>
      <c r="D184" s="8" t="n">
        <v>6500</v>
      </c>
      <c r="E184" s="9"/>
    </row>
    <row r="185" customFormat="false" ht="14.4" hidden="false" customHeight="false" outlineLevel="0" collapsed="false">
      <c r="A185" s="0" t="s">
        <v>25</v>
      </c>
      <c r="B185" s="0" t="s">
        <v>26</v>
      </c>
      <c r="C185" s="0" t="s">
        <v>18</v>
      </c>
      <c r="D185" s="8" t="n">
        <v>12000</v>
      </c>
      <c r="E185" s="9"/>
    </row>
    <row r="186" customFormat="false" ht="14.4" hidden="false" customHeight="false" outlineLevel="0" collapsed="false">
      <c r="A186" s="0" t="s">
        <v>27</v>
      </c>
      <c r="B186" s="0" t="s">
        <v>28</v>
      </c>
      <c r="C186" s="0" t="s">
        <v>29</v>
      </c>
      <c r="D186" s="8" t="n">
        <v>7890</v>
      </c>
      <c r="E186" s="9"/>
    </row>
    <row r="187" customFormat="false" ht="14.4" hidden="false" customHeight="false" outlineLevel="0" collapsed="false">
      <c r="A187" s="0" t="s">
        <v>30</v>
      </c>
      <c r="B187" s="0" t="s">
        <v>31</v>
      </c>
      <c r="C187" s="0" t="s">
        <v>12</v>
      </c>
      <c r="D187" s="8" t="n">
        <v>9008</v>
      </c>
      <c r="E187" s="9"/>
      <c r="F187" s="44" t="s">
        <v>162</v>
      </c>
      <c r="G187" s="31" t="n">
        <f aca="false">AVERAGE(D178:D202)</f>
        <v>8783.84</v>
      </c>
    </row>
    <row r="188" customFormat="false" ht="14.4" hidden="false" customHeight="false" outlineLevel="0" collapsed="false">
      <c r="A188" s="0" t="s">
        <v>30</v>
      </c>
      <c r="B188" s="0" t="s">
        <v>31</v>
      </c>
      <c r="C188" s="0" t="s">
        <v>12</v>
      </c>
      <c r="D188" s="8" t="n">
        <v>9008</v>
      </c>
      <c r="E188" s="9"/>
      <c r="F188" s="44" t="s">
        <v>163</v>
      </c>
      <c r="G188" s="31" t="n">
        <f aca="false">MAX(D178:D202)</f>
        <v>17000</v>
      </c>
    </row>
    <row r="189" customFormat="false" ht="14.4" hidden="false" customHeight="false" outlineLevel="0" collapsed="false">
      <c r="A189" s="0" t="s">
        <v>32</v>
      </c>
      <c r="B189" s="0" t="s">
        <v>33</v>
      </c>
      <c r="C189" s="0" t="s">
        <v>34</v>
      </c>
      <c r="D189" s="8" t="n">
        <v>4500</v>
      </c>
      <c r="E189" s="9"/>
      <c r="F189" s="44" t="s">
        <v>164</v>
      </c>
      <c r="G189" s="31" t="n">
        <f aca="false">MIN(D178:D202)</f>
        <v>4500</v>
      </c>
    </row>
    <row r="190" customFormat="false" ht="14.4" hidden="false" customHeight="false" outlineLevel="0" collapsed="false">
      <c r="A190" s="0" t="s">
        <v>35</v>
      </c>
      <c r="B190" s="0" t="s">
        <v>36</v>
      </c>
      <c r="C190" s="0" t="s">
        <v>24</v>
      </c>
      <c r="D190" s="8" t="n">
        <v>4500</v>
      </c>
      <c r="E190" s="9"/>
      <c r="F190" s="44"/>
      <c r="G190" s="0" t="s">
        <v>165</v>
      </c>
    </row>
    <row r="191" customFormat="false" ht="14.4" hidden="false" customHeight="false" outlineLevel="0" collapsed="false">
      <c r="A191" s="0" t="s">
        <v>37</v>
      </c>
      <c r="B191" s="0" t="s">
        <v>38</v>
      </c>
      <c r="C191" s="0" t="s">
        <v>39</v>
      </c>
      <c r="D191" s="8" t="n">
        <v>17000</v>
      </c>
      <c r="E191" s="9"/>
      <c r="F191" s="44"/>
    </row>
    <row r="192" customFormat="false" ht="14.4" hidden="false" customHeight="false" outlineLevel="0" collapsed="false">
      <c r="A192" s="0" t="s">
        <v>37</v>
      </c>
      <c r="B192" s="0" t="s">
        <v>38</v>
      </c>
      <c r="C192" s="0" t="s">
        <v>39</v>
      </c>
      <c r="D192" s="8" t="n">
        <v>17000</v>
      </c>
      <c r="E192" s="9"/>
      <c r="F192" s="44"/>
    </row>
    <row r="193" customFormat="false" ht="14.4" hidden="false" customHeight="false" outlineLevel="0" collapsed="false">
      <c r="A193" s="0" t="s">
        <v>40</v>
      </c>
      <c r="B193" s="0" t="s">
        <v>41</v>
      </c>
      <c r="C193" s="0" t="s">
        <v>42</v>
      </c>
      <c r="D193" s="8" t="n">
        <v>8000</v>
      </c>
      <c r="E193" s="9"/>
      <c r="F193" s="44"/>
    </row>
    <row r="194" customFormat="false" ht="14.4" hidden="false" customHeight="false" outlineLevel="0" collapsed="false">
      <c r="A194" s="0" t="s">
        <v>43</v>
      </c>
      <c r="B194" s="0" t="s">
        <v>44</v>
      </c>
      <c r="C194" s="0" t="s">
        <v>24</v>
      </c>
      <c r="D194" s="8" t="n">
        <v>7890</v>
      </c>
      <c r="E194" s="9"/>
    </row>
    <row r="195" customFormat="false" ht="14.4" hidden="false" customHeight="false" outlineLevel="0" collapsed="false">
      <c r="A195" s="0" t="s">
        <v>45</v>
      </c>
      <c r="B195" s="0" t="s">
        <v>46</v>
      </c>
      <c r="C195" s="0" t="s">
        <v>21</v>
      </c>
      <c r="D195" s="8" t="n">
        <v>14000</v>
      </c>
      <c r="E195" s="9"/>
    </row>
    <row r="196" customFormat="false" ht="14.4" hidden="false" customHeight="false" outlineLevel="0" collapsed="false">
      <c r="A196" s="0" t="s">
        <v>47</v>
      </c>
      <c r="B196" s="0" t="s">
        <v>48</v>
      </c>
      <c r="C196" s="0" t="s">
        <v>29</v>
      </c>
      <c r="D196" s="8" t="n">
        <v>4500</v>
      </c>
      <c r="E196" s="9"/>
    </row>
    <row r="197" customFormat="false" ht="14.4" hidden="false" customHeight="false" outlineLevel="0" collapsed="false">
      <c r="A197" s="0" t="s">
        <v>47</v>
      </c>
      <c r="B197" s="0" t="s">
        <v>48</v>
      </c>
      <c r="C197" s="0" t="s">
        <v>29</v>
      </c>
      <c r="D197" s="8" t="n">
        <v>4500</v>
      </c>
      <c r="E197" s="9"/>
    </row>
    <row r="198" customFormat="false" ht="14.4" hidden="false" customHeight="false" outlineLevel="0" collapsed="false">
      <c r="A198" s="0" t="s">
        <v>49</v>
      </c>
      <c r="B198" s="0" t="s">
        <v>50</v>
      </c>
      <c r="C198" s="0" t="s">
        <v>51</v>
      </c>
      <c r="D198" s="8" t="n">
        <v>12000</v>
      </c>
      <c r="E198" s="9"/>
    </row>
    <row r="199" customFormat="false" ht="14.4" hidden="false" customHeight="false" outlineLevel="0" collapsed="false">
      <c r="A199" s="0" t="s">
        <v>52</v>
      </c>
      <c r="B199" s="0" t="s">
        <v>53</v>
      </c>
      <c r="C199" s="0" t="s">
        <v>54</v>
      </c>
      <c r="D199" s="8" t="n">
        <v>4500</v>
      </c>
      <c r="E199" s="9"/>
    </row>
    <row r="200" customFormat="false" ht="14.4" hidden="false" customHeight="false" outlineLevel="0" collapsed="false">
      <c r="A200" s="0" t="s">
        <v>55</v>
      </c>
      <c r="B200" s="0" t="s">
        <v>56</v>
      </c>
      <c r="C200" s="0" t="s">
        <v>42</v>
      </c>
      <c r="D200" s="8" t="n">
        <v>14000</v>
      </c>
      <c r="E200" s="9"/>
    </row>
    <row r="201" customFormat="false" ht="14.4" hidden="false" customHeight="false" outlineLevel="0" collapsed="false">
      <c r="A201" s="0" t="s">
        <v>57</v>
      </c>
      <c r="B201" s="0" t="s">
        <v>58</v>
      </c>
      <c r="C201" s="0" t="s">
        <v>54</v>
      </c>
      <c r="D201" s="8" t="n">
        <v>6700</v>
      </c>
      <c r="E201" s="9"/>
    </row>
    <row r="202" customFormat="false" ht="14.4" hidden="false" customHeight="false" outlineLevel="0" collapsed="false">
      <c r="A202" s="0" t="s">
        <v>59</v>
      </c>
      <c r="B202" s="0" t="s">
        <v>60</v>
      </c>
      <c r="C202" s="11" t="s">
        <v>21</v>
      </c>
      <c r="D202" s="8" t="n">
        <v>8900</v>
      </c>
      <c r="E202" s="9"/>
    </row>
    <row r="203" customFormat="false" ht="14.4" hidden="false" customHeight="false" outlineLevel="0" collapsed="false">
      <c r="A203" s="45"/>
      <c r="B203" s="45"/>
      <c r="C203" s="46"/>
      <c r="D203" s="8"/>
    </row>
    <row r="205" customFormat="false" ht="15.6" hidden="false" customHeight="false" outlineLevel="0" collapsed="false">
      <c r="A205" s="1" t="s">
        <v>166</v>
      </c>
    </row>
    <row r="206" customFormat="false" ht="15.6" hidden="false" customHeight="false" outlineLevel="0" collapsed="false">
      <c r="A206" s="1" t="s">
        <v>167</v>
      </c>
    </row>
    <row r="208" customFormat="false" ht="18" hidden="false" customHeight="false" outlineLevel="0" collapsed="false">
      <c r="B208" s="47" t="s">
        <v>168</v>
      </c>
      <c r="C208" s="47"/>
      <c r="D208" s="47"/>
      <c r="E208" s="47"/>
      <c r="F208" s="47"/>
    </row>
    <row r="209" customFormat="false" ht="14.4" hidden="false" customHeight="false" outlineLevel="0" collapsed="false">
      <c r="B209" s="0" t="s">
        <v>169</v>
      </c>
      <c r="C209" s="0" t="s">
        <v>170</v>
      </c>
      <c r="D209" s="0" t="s">
        <v>171</v>
      </c>
      <c r="E209" s="0" t="s">
        <v>172</v>
      </c>
      <c r="F209" s="0" t="s">
        <v>173</v>
      </c>
    </row>
    <row r="210" customFormat="false" ht="14.4" hidden="false" customHeight="false" outlineLevel="0" collapsed="false">
      <c r="B210" s="48" t="s">
        <v>11</v>
      </c>
      <c r="C210" s="48" t="s">
        <v>10</v>
      </c>
      <c r="D210" s="48" t="s">
        <v>174</v>
      </c>
      <c r="E210" s="49" t="n">
        <v>40000</v>
      </c>
      <c r="F210" s="50" t="n">
        <v>39000</v>
      </c>
    </row>
    <row r="211" customFormat="false" ht="14.4" hidden="false" customHeight="false" outlineLevel="0" collapsed="false">
      <c r="B211" s="48" t="s">
        <v>20</v>
      </c>
      <c r="C211" s="48" t="s">
        <v>19</v>
      </c>
      <c r="D211" s="48" t="s">
        <v>175</v>
      </c>
      <c r="E211" s="49" t="n">
        <v>35000</v>
      </c>
      <c r="F211" s="51" t="n">
        <v>40000</v>
      </c>
    </row>
    <row r="212" customFormat="false" ht="14.4" hidden="false" customHeight="false" outlineLevel="0" collapsed="false">
      <c r="B212" s="48" t="s">
        <v>28</v>
      </c>
      <c r="C212" s="48" t="s">
        <v>27</v>
      </c>
      <c r="D212" s="48" t="s">
        <v>176</v>
      </c>
      <c r="E212" s="49" t="n">
        <v>50000</v>
      </c>
      <c r="F212" s="51" t="n">
        <v>51000</v>
      </c>
    </row>
    <row r="213" customFormat="false" ht="14.4" hidden="false" customHeight="false" outlineLevel="0" collapsed="false">
      <c r="B213" s="48" t="s">
        <v>36</v>
      </c>
      <c r="C213" s="48" t="s">
        <v>35</v>
      </c>
      <c r="D213" s="48" t="s">
        <v>177</v>
      </c>
      <c r="E213" s="49" t="n">
        <v>20000</v>
      </c>
      <c r="F213" s="51" t="n">
        <v>20000</v>
      </c>
    </row>
    <row r="214" customFormat="false" ht="14.4" hidden="false" customHeight="false" outlineLevel="0" collapsed="false">
      <c r="B214" s="48" t="s">
        <v>44</v>
      </c>
      <c r="C214" s="48" t="s">
        <v>43</v>
      </c>
      <c r="D214" s="48" t="s">
        <v>178</v>
      </c>
      <c r="E214" s="49" t="n">
        <v>22000</v>
      </c>
      <c r="F214" s="50" t="n">
        <v>20000</v>
      </c>
    </row>
    <row r="215" customFormat="false" ht="14.4" hidden="false" customHeight="false" outlineLevel="0" collapsed="false">
      <c r="B215" s="48" t="s">
        <v>46</v>
      </c>
      <c r="C215" s="48" t="s">
        <v>45</v>
      </c>
      <c r="D215" s="48" t="s">
        <v>179</v>
      </c>
      <c r="E215" s="49" t="n">
        <v>15000</v>
      </c>
      <c r="F215" s="51" t="n">
        <v>17000</v>
      </c>
    </row>
    <row r="216" customFormat="false" ht="14.4" hidden="false" customHeight="false" outlineLevel="0" collapsed="false">
      <c r="B216" s="48" t="s">
        <v>53</v>
      </c>
      <c r="C216" s="48" t="s">
        <v>52</v>
      </c>
      <c r="D216" s="48" t="s">
        <v>180</v>
      </c>
      <c r="E216" s="49" t="n">
        <v>32000</v>
      </c>
      <c r="F216" s="50" t="n">
        <v>31000</v>
      </c>
    </row>
    <row r="219" customFormat="false" ht="15.6" hidden="false" customHeight="false" outlineLevel="0" collapsed="false">
      <c r="A219" s="1" t="s">
        <v>181</v>
      </c>
    </row>
    <row r="221" customFormat="false" ht="14.4" hidden="false" customHeight="false" outlineLevel="0" collapsed="false">
      <c r="B221" s="52" t="s">
        <v>132</v>
      </c>
      <c r="C221" s="39"/>
      <c r="D221" s="39"/>
      <c r="E221" s="39"/>
    </row>
    <row r="222" customFormat="false" ht="14.4" hidden="false" customHeight="false" outlineLevel="0" collapsed="false">
      <c r="B222" s="39"/>
      <c r="C222" s="39"/>
      <c r="D222" s="39"/>
      <c r="E222" s="39"/>
    </row>
    <row r="223" customFormat="false" ht="14.4" hidden="false" customHeight="false" outlineLevel="0" collapsed="false">
      <c r="B223" s="53" t="s">
        <v>182</v>
      </c>
      <c r="C223" s="53" t="s">
        <v>134</v>
      </c>
      <c r="D223" s="53" t="s">
        <v>128</v>
      </c>
      <c r="E223" s="53" t="s">
        <v>135</v>
      </c>
    </row>
    <row r="224" customFormat="false" ht="14.4" hidden="false" customHeight="false" outlineLevel="0" collapsed="false">
      <c r="B224" s="54" t="s">
        <v>142</v>
      </c>
      <c r="C224" s="54" t="s">
        <v>143</v>
      </c>
      <c r="D224" s="54" t="n">
        <v>26</v>
      </c>
      <c r="E224" s="54" t="n">
        <v>57</v>
      </c>
    </row>
    <row r="225" customFormat="false" ht="14.4" hidden="false" customHeight="false" outlineLevel="0" collapsed="false">
      <c r="B225" s="54" t="s">
        <v>148</v>
      </c>
      <c r="C225" s="54" t="s">
        <v>149</v>
      </c>
      <c r="D225" s="54" t="n">
        <v>26</v>
      </c>
      <c r="E225" s="54" t="n">
        <v>47</v>
      </c>
    </row>
    <row r="226" customFormat="false" ht="14.4" hidden="false" customHeight="false" outlineLevel="0" collapsed="false">
      <c r="B226" s="54" t="s">
        <v>138</v>
      </c>
      <c r="C226" s="54" t="s">
        <v>139</v>
      </c>
      <c r="D226" s="54" t="n">
        <v>47</v>
      </c>
      <c r="E226" s="54" t="n">
        <v>95</v>
      </c>
    </row>
    <row r="227" customFormat="false" ht="14.4" hidden="false" customHeight="false" outlineLevel="0" collapsed="false">
      <c r="B227" s="54" t="s">
        <v>146</v>
      </c>
      <c r="C227" s="54" t="s">
        <v>147</v>
      </c>
      <c r="D227" s="54" t="n">
        <v>48</v>
      </c>
      <c r="E227" s="54" t="n">
        <v>36</v>
      </c>
    </row>
    <row r="228" customFormat="false" ht="14.4" hidden="false" customHeight="false" outlineLevel="0" collapsed="false">
      <c r="B228" s="54" t="s">
        <v>144</v>
      </c>
      <c r="C228" s="54" t="s">
        <v>145</v>
      </c>
      <c r="D228" s="54" t="n">
        <v>57</v>
      </c>
      <c r="E228" s="54" t="n">
        <v>20</v>
      </c>
    </row>
    <row r="229" customFormat="false" ht="14.4" hidden="false" customHeight="false" outlineLevel="0" collapsed="false">
      <c r="B229" s="54" t="s">
        <v>152</v>
      </c>
      <c r="C229" s="54" t="s">
        <v>153</v>
      </c>
      <c r="D229" s="54" t="n">
        <v>67</v>
      </c>
      <c r="E229" s="54" t="n">
        <v>25</v>
      </c>
    </row>
    <row r="230" customFormat="false" ht="14.4" hidden="false" customHeight="false" outlineLevel="0" collapsed="false">
      <c r="B230" s="54" t="s">
        <v>136</v>
      </c>
      <c r="C230" s="54" t="s">
        <v>137</v>
      </c>
      <c r="D230" s="54" t="n">
        <v>77</v>
      </c>
      <c r="E230" s="54" t="n">
        <v>36</v>
      </c>
    </row>
    <row r="231" customFormat="false" ht="14.4" hidden="false" customHeight="false" outlineLevel="0" collapsed="false">
      <c r="B231" s="54" t="s">
        <v>150</v>
      </c>
      <c r="C231" s="54" t="s">
        <v>151</v>
      </c>
      <c r="D231" s="54" t="n">
        <v>94</v>
      </c>
      <c r="E231" s="54" t="n">
        <v>57</v>
      </c>
    </row>
    <row r="232" customFormat="false" ht="14.4" hidden="false" customHeight="false" outlineLevel="0" collapsed="false">
      <c r="B232" s="54" t="s">
        <v>140</v>
      </c>
      <c r="C232" s="54" t="s">
        <v>141</v>
      </c>
      <c r="D232" s="54" t="n">
        <v>95</v>
      </c>
      <c r="E232" s="54" t="n">
        <v>26</v>
      </c>
    </row>
    <row r="234" customFormat="false" ht="15.6" hidden="false" customHeight="false" outlineLevel="0" collapsed="false">
      <c r="A234" s="1" t="s">
        <v>183</v>
      </c>
      <c r="B234" s="2"/>
      <c r="C234" s="2"/>
      <c r="D234" s="2"/>
      <c r="E234" s="2"/>
    </row>
    <row r="235" customFormat="false" ht="15.6" hidden="false" customHeight="false" outlineLevel="0" collapsed="false">
      <c r="A235" s="1" t="s">
        <v>184</v>
      </c>
      <c r="B235" s="2"/>
      <c r="C235" s="2"/>
      <c r="D235" s="2"/>
      <c r="E235" s="2"/>
    </row>
    <row r="236" customFormat="false" ht="15.6" hidden="false" customHeight="false" outlineLevel="0" collapsed="false">
      <c r="A236" s="1" t="s">
        <v>185</v>
      </c>
    </row>
    <row r="238" customFormat="false" ht="14.4" hidden="false" customHeight="false" outlineLevel="0" collapsed="false">
      <c r="B238" s="0" t="s">
        <v>186</v>
      </c>
    </row>
    <row r="240" customFormat="false" ht="14.4" hidden="false" customHeight="false" outlineLevel="0" collapsed="false">
      <c r="B240" s="0" t="s">
        <v>187</v>
      </c>
      <c r="C240" s="0" t="s">
        <v>188</v>
      </c>
      <c r="D240" s="0" t="s">
        <v>189</v>
      </c>
      <c r="E240" s="0" t="s">
        <v>190</v>
      </c>
      <c r="G240" s="0" t="s">
        <v>191</v>
      </c>
    </row>
    <row r="241" customFormat="false" ht="14.4" hidden="false" customHeight="false" outlineLevel="0" collapsed="false">
      <c r="A241" s="0" t="s">
        <v>192</v>
      </c>
      <c r="B241" s="55" t="n">
        <v>11000</v>
      </c>
      <c r="C241" s="55" t="n">
        <v>30000</v>
      </c>
      <c r="D241" s="55" t="n">
        <v>27000</v>
      </c>
      <c r="E241" s="55" t="n">
        <v>35000</v>
      </c>
      <c r="G241" s="0" t="s">
        <v>193</v>
      </c>
      <c r="H241" s="8" t="n">
        <v>21.78</v>
      </c>
    </row>
    <row r="242" customFormat="false" ht="13.8" hidden="false" customHeight="false" outlineLevel="0" collapsed="false">
      <c r="A242" s="0" t="s">
        <v>194</v>
      </c>
      <c r="B242" s="56" t="n">
        <f aca="false">B241/$H241</f>
        <v>505.050505050505</v>
      </c>
      <c r="C242" s="56" t="n">
        <f aca="false">C241/$H241</f>
        <v>1377.41046831956</v>
      </c>
      <c r="D242" s="56" t="n">
        <f aca="false">D241/$H241</f>
        <v>1239.6694214876</v>
      </c>
      <c r="E242" s="56" t="n">
        <f aca="false">E241/$H241</f>
        <v>1606.97887970615</v>
      </c>
      <c r="G242" s="0" t="s">
        <v>195</v>
      </c>
      <c r="H242" s="8" t="n">
        <v>25.89</v>
      </c>
    </row>
    <row r="247" customFormat="false" ht="15.6" hidden="false" customHeight="false" outlineLevel="0" collapsed="false">
      <c r="A247" s="1" t="s">
        <v>196</v>
      </c>
      <c r="B247" s="2"/>
      <c r="C247" s="2"/>
      <c r="D247" s="2"/>
      <c r="E247" s="2"/>
      <c r="F247" s="2"/>
    </row>
    <row r="248" customFormat="false" ht="15.6" hidden="false" customHeight="false" outlineLevel="0" collapsed="false">
      <c r="A248" s="1" t="s">
        <v>197</v>
      </c>
      <c r="B248" s="2"/>
      <c r="C248" s="2"/>
      <c r="D248" s="2"/>
      <c r="E248" s="2"/>
      <c r="F248" s="2"/>
    </row>
    <row r="249" customFormat="false" ht="14.4" hidden="false" customHeight="false" outlineLevel="0" collapsed="false">
      <c r="A249" s="2"/>
      <c r="B249" s="2"/>
      <c r="C249" s="2"/>
      <c r="D249" s="2"/>
      <c r="E249" s="2"/>
      <c r="F249" s="2"/>
    </row>
    <row r="250" customFormat="false" ht="30" hidden="false" customHeight="false" outlineLevel="0" collapsed="false">
      <c r="A250" s="4" t="s">
        <v>1</v>
      </c>
      <c r="B250" s="4"/>
      <c r="C250" s="4"/>
      <c r="D250" s="4"/>
      <c r="E250" s="4"/>
      <c r="F250" s="4"/>
    </row>
    <row r="251" customFormat="false" ht="14.4" hidden="false" customHeight="false" outlineLevel="0" collapsed="false">
      <c r="A251" s="27" t="s">
        <v>2</v>
      </c>
      <c r="B251" s="27" t="s">
        <v>3</v>
      </c>
      <c r="C251" s="27" t="s">
        <v>87</v>
      </c>
      <c r="D251" s="27" t="s">
        <v>4</v>
      </c>
      <c r="E251" s="28" t="s">
        <v>5</v>
      </c>
      <c r="F251" s="29" t="s">
        <v>88</v>
      </c>
    </row>
    <row r="252" customFormat="false" ht="14.4" hidden="false" customHeight="false" outlineLevel="0" collapsed="false">
      <c r="A252" s="0" t="s">
        <v>57</v>
      </c>
      <c r="B252" s="0" t="s">
        <v>58</v>
      </c>
      <c r="C252" s="0" t="s">
        <v>89</v>
      </c>
      <c r="D252" s="0" t="s">
        <v>54</v>
      </c>
      <c r="E252" s="8" t="n">
        <v>6700</v>
      </c>
      <c r="F252" s="30" t="n">
        <v>500</v>
      </c>
    </row>
    <row r="253" customFormat="false" ht="14.4" hidden="false" customHeight="false" outlineLevel="0" collapsed="false">
      <c r="A253" s="0" t="s">
        <v>55</v>
      </c>
      <c r="B253" s="0" t="s">
        <v>56</v>
      </c>
      <c r="C253" s="0" t="s">
        <v>89</v>
      </c>
      <c r="D253" s="0" t="s">
        <v>54</v>
      </c>
      <c r="E253" s="8" t="n">
        <v>14000</v>
      </c>
      <c r="F253" s="30" t="n">
        <v>900</v>
      </c>
    </row>
    <row r="254" customFormat="false" ht="14.4" hidden="false" customHeight="false" outlineLevel="0" collapsed="false">
      <c r="A254" s="0" t="s">
        <v>52</v>
      </c>
      <c r="B254" s="0" t="s">
        <v>53</v>
      </c>
      <c r="C254" s="0" t="s">
        <v>89</v>
      </c>
      <c r="D254" s="0" t="s">
        <v>54</v>
      </c>
      <c r="E254" s="8" t="n">
        <v>4500</v>
      </c>
      <c r="F254" s="30" t="n">
        <v>1100</v>
      </c>
    </row>
    <row r="255" customFormat="false" ht="14.4" hidden="false" customHeight="false" outlineLevel="0" collapsed="false">
      <c r="A255" s="0" t="s">
        <v>25</v>
      </c>
      <c r="B255" s="0" t="s">
        <v>26</v>
      </c>
      <c r="C255" s="0" t="s">
        <v>92</v>
      </c>
      <c r="D255" s="0" t="s">
        <v>18</v>
      </c>
      <c r="E255" s="8" t="n">
        <v>12000</v>
      </c>
      <c r="F255" s="30" t="n">
        <v>300</v>
      </c>
    </row>
    <row r="256" customFormat="false" ht="14.4" hidden="false" customHeight="false" outlineLevel="0" collapsed="false">
      <c r="A256" s="0" t="s">
        <v>59</v>
      </c>
      <c r="B256" s="0" t="s">
        <v>60</v>
      </c>
      <c r="C256" s="0" t="s">
        <v>92</v>
      </c>
      <c r="D256" s="11" t="s">
        <v>21</v>
      </c>
      <c r="E256" s="8" t="n">
        <v>8900</v>
      </c>
      <c r="F256" s="30" t="n">
        <v>500</v>
      </c>
    </row>
    <row r="257" customFormat="false" ht="14.4" hidden="false" customHeight="false" outlineLevel="0" collapsed="false">
      <c r="A257" s="0" t="s">
        <v>43</v>
      </c>
      <c r="B257" s="0" t="s">
        <v>44</v>
      </c>
      <c r="C257" s="0" t="s">
        <v>92</v>
      </c>
      <c r="D257" s="0" t="s">
        <v>24</v>
      </c>
      <c r="E257" s="8" t="n">
        <v>7890</v>
      </c>
      <c r="F257" s="30" t="n">
        <v>1100</v>
      </c>
    </row>
    <row r="258" customFormat="false" ht="14.4" hidden="false" customHeight="false" outlineLevel="0" collapsed="false">
      <c r="A258" s="0" t="s">
        <v>47</v>
      </c>
      <c r="B258" s="0" t="s">
        <v>48</v>
      </c>
      <c r="C258" s="0" t="s">
        <v>92</v>
      </c>
      <c r="D258" s="0" t="s">
        <v>29</v>
      </c>
      <c r="E258" s="8" t="n">
        <v>4500</v>
      </c>
      <c r="F258" s="30" t="n">
        <v>300</v>
      </c>
    </row>
    <row r="259" customFormat="false" ht="14.4" hidden="false" customHeight="false" outlineLevel="0" collapsed="false">
      <c r="A259" s="0" t="s">
        <v>16</v>
      </c>
      <c r="B259" s="0" t="s">
        <v>17</v>
      </c>
      <c r="C259" s="0" t="s">
        <v>92</v>
      </c>
      <c r="D259" s="0" t="s">
        <v>18</v>
      </c>
      <c r="E259" s="8" t="n">
        <v>14000</v>
      </c>
      <c r="F259" s="30" t="n">
        <v>1100</v>
      </c>
    </row>
    <row r="260" customFormat="false" ht="14.4" hidden="false" customHeight="false" outlineLevel="0" collapsed="false">
      <c r="A260" s="0" t="s">
        <v>37</v>
      </c>
      <c r="B260" s="0" t="s">
        <v>38</v>
      </c>
      <c r="C260" s="0" t="s">
        <v>92</v>
      </c>
      <c r="D260" s="0" t="s">
        <v>39</v>
      </c>
      <c r="E260" s="8" t="n">
        <v>17000</v>
      </c>
      <c r="F260" s="30" t="n">
        <v>900</v>
      </c>
    </row>
    <row r="261" customFormat="false" ht="14.4" hidden="false" customHeight="false" outlineLevel="0" collapsed="false">
      <c r="A261" s="0" t="s">
        <v>35</v>
      </c>
      <c r="B261" s="0" t="s">
        <v>36</v>
      </c>
      <c r="C261" s="0" t="s">
        <v>92</v>
      </c>
      <c r="D261" s="0" t="s">
        <v>24</v>
      </c>
      <c r="E261" s="8" t="n">
        <v>4500</v>
      </c>
      <c r="F261" s="30" t="n">
        <v>500</v>
      </c>
    </row>
    <row r="262" customFormat="false" ht="14.4" hidden="false" customHeight="false" outlineLevel="0" collapsed="false">
      <c r="A262" s="0" t="s">
        <v>22</v>
      </c>
      <c r="B262" s="0" t="s">
        <v>23</v>
      </c>
      <c r="C262" s="0" t="s">
        <v>92</v>
      </c>
      <c r="D262" s="0" t="s">
        <v>24</v>
      </c>
      <c r="E262" s="8" t="n">
        <v>6500</v>
      </c>
      <c r="F262" s="30" t="n">
        <v>300</v>
      </c>
    </row>
    <row r="263" customFormat="false" ht="14.4" hidden="false" customHeight="false" outlineLevel="0" collapsed="false">
      <c r="A263" s="0" t="s">
        <v>27</v>
      </c>
      <c r="B263" s="0" t="s">
        <v>28</v>
      </c>
      <c r="C263" s="0" t="s">
        <v>92</v>
      </c>
      <c r="D263" s="0" t="s">
        <v>29</v>
      </c>
      <c r="E263" s="8" t="n">
        <v>7890</v>
      </c>
      <c r="F263" s="30" t="n">
        <v>1100</v>
      </c>
    </row>
    <row r="264" customFormat="false" ht="14.4" hidden="false" customHeight="false" outlineLevel="0" collapsed="false">
      <c r="A264" s="0" t="s">
        <v>40</v>
      </c>
      <c r="B264" s="0" t="s">
        <v>41</v>
      </c>
      <c r="C264" s="0" t="s">
        <v>94</v>
      </c>
      <c r="D264" s="0" t="s">
        <v>42</v>
      </c>
      <c r="E264" s="8" t="n">
        <v>8000</v>
      </c>
      <c r="F264" s="30" t="n">
        <v>1100</v>
      </c>
    </row>
    <row r="265" customFormat="false" ht="14.4" hidden="false" customHeight="false" outlineLevel="0" collapsed="false">
      <c r="A265" s="0" t="s">
        <v>19</v>
      </c>
      <c r="B265" s="0" t="s">
        <v>20</v>
      </c>
      <c r="C265" s="0" t="s">
        <v>94</v>
      </c>
      <c r="D265" s="0" t="s">
        <v>21</v>
      </c>
      <c r="E265" s="8" t="n">
        <v>8000</v>
      </c>
      <c r="F265" s="30" t="n">
        <v>500</v>
      </c>
    </row>
    <row r="266" customFormat="false" ht="14.4" hidden="false" customHeight="false" outlineLevel="0" collapsed="false">
      <c r="A266" s="0" t="s">
        <v>45</v>
      </c>
      <c r="B266" s="0" t="s">
        <v>46</v>
      </c>
      <c r="C266" s="0" t="s">
        <v>94</v>
      </c>
      <c r="D266" s="0" t="s">
        <v>21</v>
      </c>
      <c r="E266" s="8" t="n">
        <v>14000</v>
      </c>
      <c r="F266" s="30" t="n">
        <v>300</v>
      </c>
    </row>
    <row r="267" customFormat="false" ht="14.4" hidden="false" customHeight="false" outlineLevel="0" collapsed="false">
      <c r="E267" s="8"/>
      <c r="F267" s="30"/>
    </row>
    <row r="268" customFormat="false" ht="14.4" hidden="false" customHeight="false" outlineLevel="0" collapsed="false">
      <c r="B268" s="26" t="s">
        <v>198</v>
      </c>
      <c r="C268" s="26" t="n">
        <f aca="false" t="array" ref="C268:C268">COUNTA(E252:E266&gt;1000)</f>
        <v>15</v>
      </c>
      <c r="E268" s="8"/>
      <c r="F268" s="30"/>
    </row>
    <row r="271" customFormat="false" ht="15.6" hidden="false" customHeight="false" outlineLevel="0" collapsed="false">
      <c r="A271" s="1" t="s">
        <v>199</v>
      </c>
    </row>
    <row r="272" customFormat="false" ht="15" hidden="false" customHeight="false" outlineLevel="0" collapsed="false"/>
    <row r="273" customFormat="false" ht="15.6" hidden="false" customHeight="false" outlineLevel="0" collapsed="false">
      <c r="A273" s="18" t="s">
        <v>64</v>
      </c>
      <c r="B273" s="18"/>
      <c r="C273" s="18"/>
      <c r="D273" s="18"/>
      <c r="E273" s="18"/>
      <c r="F273" s="18"/>
    </row>
    <row r="274" customFormat="false" ht="15.6" hidden="false" customHeight="false" outlineLevel="0" collapsed="false">
      <c r="A274" s="18" t="s">
        <v>65</v>
      </c>
      <c r="B274" s="18"/>
      <c r="C274" s="18"/>
      <c r="D274" s="18"/>
      <c r="E274" s="18"/>
      <c r="F274" s="18"/>
    </row>
    <row r="275" customFormat="false" ht="15" hidden="false" customHeight="false" outlineLevel="0" collapsed="false">
      <c r="A275" s="19"/>
      <c r="B275" s="19"/>
      <c r="C275" s="19"/>
      <c r="D275" s="19"/>
      <c r="E275" s="19"/>
      <c r="F275" s="19"/>
    </row>
    <row r="276" customFormat="false" ht="29.4" hidden="false" customHeight="false" outlineLevel="0" collapsed="false">
      <c r="A276" s="20" t="s">
        <v>66</v>
      </c>
      <c r="B276" s="20" t="s">
        <v>67</v>
      </c>
      <c r="C276" s="20" t="s">
        <v>68</v>
      </c>
      <c r="D276" s="21" t="s">
        <v>69</v>
      </c>
      <c r="E276" s="21" t="s">
        <v>70</v>
      </c>
      <c r="F276" s="21" t="s">
        <v>71</v>
      </c>
      <c r="G276" s="21" t="s">
        <v>72</v>
      </c>
    </row>
    <row r="277" customFormat="false" ht="14.4" hidden="false" customHeight="false" outlineLevel="0" collapsed="false">
      <c r="A277" s="22" t="s">
        <v>73</v>
      </c>
      <c r="B277" s="23" t="n">
        <v>90000</v>
      </c>
      <c r="C277" s="23" t="n">
        <v>95000</v>
      </c>
      <c r="D277" s="24" t="n">
        <f aca="false">C277-B277</f>
        <v>5000</v>
      </c>
      <c r="E277" s="25" t="n">
        <f aca="false">D277/B277</f>
        <v>0.0555555555555556</v>
      </c>
      <c r="F277" s="26" t="n">
        <v>80</v>
      </c>
    </row>
    <row r="278" customFormat="false" ht="14.4" hidden="false" customHeight="false" outlineLevel="0" collapsed="false">
      <c r="A278" s="22" t="s">
        <v>74</v>
      </c>
      <c r="B278" s="23" t="n">
        <v>120000</v>
      </c>
      <c r="C278" s="23" t="n">
        <v>125000</v>
      </c>
      <c r="D278" s="24" t="n">
        <f aca="false">C278-B278</f>
        <v>5000</v>
      </c>
      <c r="E278" s="25" t="n">
        <f aca="false">D278/B278</f>
        <v>0.0416666666666667</v>
      </c>
      <c r="F278" s="26" t="n">
        <v>37</v>
      </c>
    </row>
    <row r="279" customFormat="false" ht="14.4" hidden="false" customHeight="false" outlineLevel="0" collapsed="false">
      <c r="A279" s="22" t="s">
        <v>75</v>
      </c>
      <c r="B279" s="23" t="n">
        <v>70000</v>
      </c>
      <c r="C279" s="23" t="n">
        <v>80000</v>
      </c>
      <c r="D279" s="24" t="n">
        <f aca="false">C279-B279</f>
        <v>10000</v>
      </c>
      <c r="E279" s="25" t="n">
        <f aca="false">D279/B279</f>
        <v>0.142857142857143</v>
      </c>
      <c r="F279" s="26" t="n">
        <v>45</v>
      </c>
    </row>
    <row r="280" customFormat="false" ht="14.4" hidden="false" customHeight="false" outlineLevel="0" collapsed="false">
      <c r="A280" s="22" t="s">
        <v>76</v>
      </c>
      <c r="B280" s="23" t="n">
        <v>110000</v>
      </c>
      <c r="C280" s="23" t="n">
        <v>116000</v>
      </c>
      <c r="D280" s="24" t="n">
        <f aca="false">C280-B280</f>
        <v>6000</v>
      </c>
      <c r="E280" s="25" t="n">
        <f aca="false">D280/B280</f>
        <v>0.0545454545454545</v>
      </c>
      <c r="F280" s="26" t="n">
        <v>87</v>
      </c>
    </row>
    <row r="281" customFormat="false" ht="14.4" hidden="false" customHeight="false" outlineLevel="0" collapsed="false">
      <c r="A281" s="22" t="s">
        <v>77</v>
      </c>
      <c r="B281" s="23" t="n">
        <v>115000</v>
      </c>
      <c r="C281" s="23" t="n">
        <v>145700</v>
      </c>
      <c r="D281" s="24" t="n">
        <f aca="false">C281-B281</f>
        <v>30700</v>
      </c>
      <c r="E281" s="25" t="n">
        <f aca="false">D281/B281</f>
        <v>0.26695652173913</v>
      </c>
      <c r="F281" s="26" t="n">
        <v>28</v>
      </c>
    </row>
    <row r="282" customFormat="false" ht="14.4" hidden="false" customHeight="false" outlineLevel="0" collapsed="false">
      <c r="A282" s="22" t="s">
        <v>78</v>
      </c>
      <c r="B282" s="23" t="n">
        <v>95000</v>
      </c>
      <c r="C282" s="23" t="n">
        <v>98000</v>
      </c>
      <c r="D282" s="24" t="n">
        <f aca="false">C282-B282</f>
        <v>3000</v>
      </c>
      <c r="E282" s="25" t="n">
        <f aca="false">D282/B282</f>
        <v>0.0315789473684211</v>
      </c>
      <c r="F282" s="26" t="n">
        <v>88</v>
      </c>
    </row>
    <row r="283" customFormat="false" ht="14.4" hidden="false" customHeight="false" outlineLevel="0" collapsed="false">
      <c r="A283" s="22" t="s">
        <v>79</v>
      </c>
      <c r="B283" s="23" t="n">
        <v>100000</v>
      </c>
      <c r="C283" s="23" t="n">
        <v>115000</v>
      </c>
      <c r="D283" s="24" t="n">
        <f aca="false">C283-B283</f>
        <v>15000</v>
      </c>
      <c r="E283" s="25" t="n">
        <f aca="false">D283/B283</f>
        <v>0.15</v>
      </c>
      <c r="F283" s="26" t="n">
        <v>34</v>
      </c>
    </row>
    <row r="284" customFormat="false" ht="14.4" hidden="false" customHeight="false" outlineLevel="0" collapsed="false">
      <c r="A284" s="22" t="s">
        <v>80</v>
      </c>
      <c r="B284" s="23" t="n">
        <v>220000</v>
      </c>
      <c r="C284" s="23" t="n">
        <v>224000</v>
      </c>
      <c r="D284" s="24" t="n">
        <f aca="false">C284-B284</f>
        <v>4000</v>
      </c>
      <c r="E284" s="25" t="n">
        <f aca="false">D284/B284</f>
        <v>0.0181818181818182</v>
      </c>
      <c r="F284" s="26" t="n">
        <v>75</v>
      </c>
    </row>
    <row r="285" customFormat="false" ht="14.4" hidden="false" customHeight="false" outlineLevel="0" collapsed="false">
      <c r="A285" s="22" t="s">
        <v>81</v>
      </c>
      <c r="B285" s="23" t="n">
        <v>115000</v>
      </c>
      <c r="C285" s="23" t="n">
        <v>125000</v>
      </c>
      <c r="D285" s="24" t="n">
        <f aca="false">C285-B285</f>
        <v>10000</v>
      </c>
      <c r="E285" s="25" t="n">
        <f aca="false">D285/B285</f>
        <v>0.0869565217391304</v>
      </c>
      <c r="F285" s="26" t="n">
        <v>45</v>
      </c>
    </row>
    <row r="286" customFormat="false" ht="14.4" hidden="false" customHeight="false" outlineLevel="0" collapsed="false">
      <c r="A286" s="22" t="s">
        <v>82</v>
      </c>
      <c r="B286" s="23" t="n">
        <v>200000</v>
      </c>
      <c r="C286" s="23" t="n">
        <v>210000</v>
      </c>
      <c r="D286" s="24" t="n">
        <f aca="false">C286-B286</f>
        <v>10000</v>
      </c>
      <c r="E286" s="25" t="n">
        <f aca="false">D286/B286</f>
        <v>0.05</v>
      </c>
      <c r="F286" s="26" t="n">
        <v>77</v>
      </c>
    </row>
    <row r="287" customFormat="false" ht="14.4" hidden="false" customHeight="false" outlineLevel="0" collapsed="false">
      <c r="A287" s="22" t="s">
        <v>83</v>
      </c>
      <c r="B287" s="23" t="n">
        <v>350000</v>
      </c>
      <c r="C287" s="23" t="n">
        <v>360000</v>
      </c>
      <c r="D287" s="24" t="n">
        <f aca="false">C287-B287</f>
        <v>10000</v>
      </c>
      <c r="E287" s="25" t="n">
        <f aca="false">D287/B287</f>
        <v>0.0285714285714286</v>
      </c>
      <c r="F287" s="26" t="n">
        <v>30</v>
      </c>
    </row>
    <row r="288" customFormat="false" ht="14.4" hidden="false" customHeight="false" outlineLevel="0" collapsed="false">
      <c r="A288" s="22" t="s">
        <v>84</v>
      </c>
      <c r="B288" s="23" t="n">
        <v>80000</v>
      </c>
      <c r="C288" s="23" t="n">
        <v>92000</v>
      </c>
      <c r="D288" s="24" t="n">
        <f aca="false">C288-B288</f>
        <v>12000</v>
      </c>
      <c r="E288" s="25" t="n">
        <f aca="false">D288/B288</f>
        <v>0.15</v>
      </c>
      <c r="F288" s="26" t="n">
        <v>50</v>
      </c>
    </row>
    <row r="291" customFormat="false" ht="15.6" hidden="false" customHeight="false" outlineLevel="0" collapsed="false">
      <c r="A291" s="1"/>
    </row>
    <row r="293" customFormat="false" ht="15.6" hidden="false" customHeight="false" outlineLevel="0" collapsed="false">
      <c r="A293" s="14"/>
    </row>
  </sheetData>
  <mergeCells count="13">
    <mergeCell ref="A4:E4"/>
    <mergeCell ref="A36:F36"/>
    <mergeCell ref="A37:F37"/>
    <mergeCell ref="A38:F38"/>
    <mergeCell ref="A56:F56"/>
    <mergeCell ref="A82:C82"/>
    <mergeCell ref="A83:C83"/>
    <mergeCell ref="A176:E176"/>
    <mergeCell ref="B208:F208"/>
    <mergeCell ref="A250:F250"/>
    <mergeCell ref="A273:F273"/>
    <mergeCell ref="A274:F274"/>
    <mergeCell ref="A275:F275"/>
  </mergeCells>
  <dataValidations count="1">
    <dataValidation allowBlank="true" operator="between" showDropDown="false" showErrorMessage="true" showInputMessage="true" sqref="C87:C99" type="textLength">
      <formula1>1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2"/>
  <legacyDrawing r:id="rId3"/>
  <tableParts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10.6875" defaultRowHeight="14.4" zeroHeight="false" outlineLevelRow="0" outlineLevelCol="0"/>
  <sheetData>
    <row r="1" customFormat="false" ht="14.4" hidden="false" customHeight="false" outlineLevel="0" collapsed="false">
      <c r="A1" s="37" t="s">
        <v>124</v>
      </c>
      <c r="B1" s="37" t="s">
        <v>125</v>
      </c>
      <c r="C1" s="37" t="s">
        <v>127</v>
      </c>
    </row>
    <row r="2" customFormat="false" ht="14.4" hidden="false" customHeight="false" outlineLevel="0" collapsed="false">
      <c r="A2" s="0" t="n">
        <v>1997</v>
      </c>
      <c r="B2" s="38" t="n">
        <v>8402995</v>
      </c>
      <c r="C2" s="38" t="n">
        <v>178166</v>
      </c>
    </row>
    <row r="3" customFormat="false" ht="14.4" hidden="false" customHeight="false" outlineLevel="0" collapsed="false">
      <c r="A3" s="0" t="n">
        <v>1998</v>
      </c>
      <c r="B3" s="38" t="n">
        <v>9086209</v>
      </c>
      <c r="C3" s="38" t="n">
        <v>222100</v>
      </c>
    </row>
    <row r="4" customFormat="false" ht="14.4" hidden="false" customHeight="false" outlineLevel="0" collapsed="false">
      <c r="A4" s="0" t="n">
        <v>1999</v>
      </c>
      <c r="B4" s="38" t="n">
        <v>9582796</v>
      </c>
      <c r="C4" s="38" t="n">
        <v>262599</v>
      </c>
    </row>
    <row r="5" customFormat="false" ht="14.4" hidden="false" customHeight="false" outlineLevel="0" collapsed="false">
      <c r="A5" s="0" t="n">
        <v>2000</v>
      </c>
      <c r="B5" s="38" t="n">
        <v>10176179</v>
      </c>
      <c r="C5" s="38" t="n">
        <v>293924</v>
      </c>
    </row>
    <row r="6" customFormat="false" ht="14.4" hidden="false" customHeight="false" outlineLevel="0" collapsed="false">
      <c r="A6" s="0" t="n">
        <v>2001</v>
      </c>
      <c r="B6" s="38" t="n">
        <v>11351982</v>
      </c>
      <c r="C6" s="38" t="n">
        <v>280806</v>
      </c>
    </row>
    <row r="7" customFormat="false" ht="14.4" hidden="false" customHeight="false" outlineLevel="0" collapsed="false">
      <c r="A7" s="0" t="n">
        <v>2002</v>
      </c>
      <c r="B7" s="38" t="n">
        <v>12254910</v>
      </c>
      <c r="C7" s="38" t="n">
        <v>369522</v>
      </c>
    </row>
    <row r="8" customFormat="false" ht="14.4" hidden="false" customHeight="false" outlineLevel="0" collapsed="false">
      <c r="A8" s="0" t="n">
        <v>2003</v>
      </c>
      <c r="B8" s="38" t="n">
        <v>12742049</v>
      </c>
      <c r="C8" s="38" t="n">
        <v>439517</v>
      </c>
    </row>
    <row r="9" customFormat="false" ht="14.4" hidden="false" customHeight="false" outlineLevel="0" collapsed="false">
      <c r="A9" s="0" t="n">
        <v>2004</v>
      </c>
      <c r="B9" s="38" t="n">
        <v>13388011</v>
      </c>
      <c r="C9" s="38" t="n">
        <v>518307</v>
      </c>
    </row>
    <row r="10" customFormat="false" ht="14.4" hidden="false" customHeight="false" outlineLevel="0" collapsed="false">
      <c r="A10" s="0" t="n">
        <v>2005</v>
      </c>
      <c r="B10" s="38" t="n">
        <v>14661820</v>
      </c>
      <c r="C10" s="38" t="n">
        <v>605954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2012-07-09T01:49:47Z</dcterms:created>
  <dc:creator>Ann</dc:creator>
  <dc:description/>
  <dc:language>en-US</dc:language>
  <cp:lastModifiedBy/>
  <dcterms:modified xsi:type="dcterms:W3CDTF">2020-10-18T00:44:39Z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